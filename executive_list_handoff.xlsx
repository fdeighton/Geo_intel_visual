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osterDeighton\Downloads\Projects\Geo_intel_visual\"/>
    </mc:Choice>
  </mc:AlternateContent>
  <xr:revisionPtr revIDLastSave="0" documentId="13_ncr:1_{1D8FEBF4-3883-470F-B895-306F56985954}" xr6:coauthVersionLast="47" xr6:coauthVersionMax="47" xr10:uidLastSave="{00000000-0000-0000-0000-000000000000}"/>
  <bookViews>
    <workbookView xWindow="-15075" yWindow="-16320" windowWidth="29040" windowHeight="15720" tabRatio="500" xr2:uid="{00000000-000D-0000-FFFF-FFFF00000000}"/>
  </bookViews>
  <sheets>
    <sheet name="Role Sorted" sheetId="4" r:id="rId1"/>
  </sheets>
  <definedNames>
    <definedName name="_xlnm._FilterDatabase" localSheetId="0" hidden="1">'Role Sorted'!$A$1:$G$81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1" i="4" l="1" a="1"/>
  <c r="I481" i="4" s="1"/>
  <c r="H481" i="4" s="1" a="1"/>
  <c r="H481" i="4" s="1"/>
  <c r="J481" i="4" s="1" a="1"/>
  <c r="J481" i="4" s="1"/>
  <c r="I432" i="4" a="1"/>
  <c r="I432" i="4" s="1"/>
  <c r="H432" i="4" s="1" a="1"/>
  <c r="H432" i="4" s="1"/>
  <c r="J432" i="4" s="1" a="1"/>
  <c r="J432" i="4" s="1"/>
  <c r="I438" i="4" a="1"/>
  <c r="I438" i="4" s="1"/>
  <c r="H438" i="4" s="1" a="1"/>
  <c r="H438" i="4" s="1"/>
  <c r="J438" i="4" s="1" a="1"/>
  <c r="J438" i="4" s="1"/>
  <c r="I439" i="4" a="1"/>
  <c r="I439" i="4" s="1"/>
  <c r="H439" i="4" s="1" a="1"/>
  <c r="H439" i="4" s="1"/>
  <c r="J439" i="4" s="1" a="1"/>
  <c r="J439" i="4" s="1"/>
  <c r="I443" i="4" a="1"/>
  <c r="I443" i="4" s="1"/>
  <c r="H443" i="4" s="1" a="1"/>
  <c r="H443" i="4" s="1"/>
  <c r="J443" i="4" s="1" a="1"/>
  <c r="J443" i="4" s="1"/>
  <c r="I424" i="4" a="1"/>
  <c r="I424" i="4" s="1"/>
  <c r="H424" i="4" s="1" a="1"/>
  <c r="H424" i="4" s="1"/>
  <c r="J424" i="4" s="1" a="1"/>
  <c r="J424" i="4" s="1"/>
  <c r="I425" i="4" a="1"/>
  <c r="I425" i="4" s="1"/>
  <c r="H425" i="4" s="1" a="1"/>
  <c r="H425" i="4" s="1"/>
  <c r="J425" i="4" s="1" a="1"/>
  <c r="J425" i="4" s="1"/>
  <c r="I415" i="4" a="1"/>
  <c r="I415" i="4" s="1"/>
  <c r="H415" i="4" s="1" a="1"/>
  <c r="H415" i="4" s="1"/>
  <c r="J415" i="4" s="1" a="1"/>
  <c r="J415" i="4" s="1"/>
  <c r="I416" i="4" a="1"/>
  <c r="I416" i="4" s="1"/>
  <c r="H416" i="4" s="1" a="1"/>
  <c r="H416" i="4" s="1"/>
  <c r="J416" i="4" s="1" a="1"/>
  <c r="J416" i="4" s="1"/>
  <c r="I417" i="4" a="1"/>
  <c r="I417" i="4" s="1"/>
  <c r="H417" i="4" s="1" a="1"/>
  <c r="H417" i="4" s="1"/>
  <c r="J417" i="4" s="1" a="1"/>
  <c r="J417" i="4" s="1"/>
  <c r="I420" i="4" a="1"/>
  <c r="I420" i="4" s="1"/>
  <c r="H420" i="4" s="1" a="1"/>
  <c r="H420" i="4" s="1"/>
  <c r="J420" i="4" s="1" a="1"/>
  <c r="J420" i="4" s="1"/>
  <c r="I421" i="4" a="1"/>
  <c r="I421" i="4" s="1"/>
  <c r="H421" i="4" s="1" a="1"/>
  <c r="H421" i="4" s="1"/>
  <c r="J421" i="4" s="1" a="1"/>
  <c r="J421" i="4" s="1"/>
  <c r="I414" i="4" a="1"/>
  <c r="I414" i="4" s="1"/>
  <c r="H414" i="4" s="1" a="1"/>
  <c r="H414" i="4" s="1"/>
  <c r="J414" i="4" s="1" a="1"/>
  <c r="J414" i="4" s="1"/>
  <c r="I406" i="4" a="1"/>
  <c r="I406" i="4" s="1"/>
  <c r="H406" i="4" s="1" a="1"/>
  <c r="H406" i="4" s="1"/>
  <c r="J406" i="4" s="1" a="1"/>
  <c r="J406" i="4" s="1"/>
  <c r="I407" i="4" a="1"/>
  <c r="I407" i="4" s="1"/>
  <c r="H407" i="4" s="1" a="1"/>
  <c r="H407" i="4" s="1"/>
  <c r="J407" i="4" s="1" a="1"/>
  <c r="J407" i="4" s="1"/>
  <c r="I386" i="4" a="1"/>
  <c r="I386" i="4" s="1"/>
  <c r="H386" i="4" s="1" a="1"/>
  <c r="H386" i="4" s="1"/>
  <c r="J386" i="4" s="1" a="1"/>
  <c r="J386" i="4" s="1"/>
  <c r="I380" i="4" a="1"/>
  <c r="I380" i="4" s="1"/>
  <c r="H380" i="4" s="1" a="1"/>
  <c r="H380" i="4" s="1"/>
  <c r="J380" i="4" s="1" a="1"/>
  <c r="J380" i="4" s="1"/>
  <c r="I298" i="4" a="1"/>
  <c r="I298" i="4" s="1"/>
  <c r="H298" i="4" s="1" a="1"/>
  <c r="H298" i="4" s="1"/>
  <c r="J298" i="4" s="1" a="1"/>
  <c r="J298" i="4" s="1"/>
  <c r="I300" i="4" a="1"/>
  <c r="I300" i="4" s="1"/>
  <c r="H300" i="4" s="1" a="1"/>
  <c r="H300" i="4" s="1"/>
  <c r="J300" i="4" s="1" a="1"/>
  <c r="J300" i="4" s="1"/>
  <c r="I423" i="4" a="1"/>
  <c r="I423" i="4" s="1"/>
  <c r="H423" i="4" s="1" a="1"/>
  <c r="H423" i="4" s="1"/>
  <c r="J423" i="4" s="1" a="1"/>
  <c r="J423" i="4" s="1"/>
  <c r="I293" i="4" a="1"/>
  <c r="I293" i="4" s="1"/>
  <c r="H293" i="4" s="1" a="1"/>
  <c r="H293" i="4" s="1"/>
  <c r="J293" i="4" s="1" a="1"/>
  <c r="J293" i="4" s="1"/>
  <c r="I274" i="4" a="1"/>
  <c r="I274" i="4" s="1"/>
  <c r="H274" i="4" s="1" a="1"/>
  <c r="H274" i="4" s="1"/>
  <c r="J274" i="4" s="1" a="1"/>
  <c r="J274" i="4" s="1"/>
  <c r="I283" i="4" a="1"/>
  <c r="I283" i="4" s="1"/>
  <c r="H283" i="4" s="1" a="1"/>
  <c r="H283" i="4" s="1"/>
  <c r="J283" i="4" s="1" a="1"/>
  <c r="J283" i="4" s="1"/>
  <c r="I228" i="4" a="1"/>
  <c r="I228" i="4" s="1"/>
  <c r="H228" i="4" s="1" a="1"/>
  <c r="H228" i="4" s="1"/>
  <c r="J228" i="4" s="1" a="1"/>
  <c r="J228" i="4" s="1"/>
  <c r="I247" i="4" a="1"/>
  <c r="I247" i="4" s="1"/>
  <c r="H247" i="4" s="1" a="1"/>
  <c r="H247" i="4" s="1"/>
  <c r="J247" i="4" s="1" a="1"/>
  <c r="J247" i="4" s="1"/>
  <c r="I261" i="4" a="1"/>
  <c r="I261" i="4" s="1"/>
  <c r="H261" i="4" s="1" a="1"/>
  <c r="H261" i="4" s="1"/>
  <c r="J261" i="4" s="1" a="1"/>
  <c r="J261" i="4" s="1"/>
  <c r="I218" i="4" a="1"/>
  <c r="I218" i="4" s="1"/>
  <c r="H218" i="4" s="1" a="1"/>
  <c r="H218" i="4" s="1"/>
  <c r="J218" i="4" s="1" a="1"/>
  <c r="J218" i="4" s="1"/>
  <c r="I198" i="4" a="1"/>
  <c r="I198" i="4" s="1"/>
  <c r="H198" i="4" s="1" a="1"/>
  <c r="H198" i="4" s="1"/>
  <c r="J198" i="4" s="1" a="1"/>
  <c r="J198" i="4" s="1"/>
  <c r="I200" i="4" a="1"/>
  <c r="I200" i="4" s="1"/>
  <c r="H200" i="4" s="1" a="1"/>
  <c r="H200" i="4" s="1"/>
  <c r="J200" i="4" s="1" a="1"/>
  <c r="J200" i="4" s="1"/>
  <c r="I204" i="4" a="1"/>
  <c r="I204" i="4" s="1"/>
  <c r="H204" i="4" s="1" a="1"/>
  <c r="H204" i="4" s="1"/>
  <c r="J204" i="4" s="1" a="1"/>
  <c r="J204" i="4" s="1"/>
  <c r="I192" i="4" a="1"/>
  <c r="I192" i="4" s="1"/>
  <c r="H192" i="4" s="1" a="1"/>
  <c r="H192" i="4" s="1"/>
  <c r="J192" i="4" s="1" a="1"/>
  <c r="J192" i="4" s="1"/>
  <c r="I194" i="4" a="1"/>
  <c r="I194" i="4" s="1"/>
  <c r="H194" i="4" s="1" a="1"/>
  <c r="H194" i="4" s="1"/>
  <c r="J194" i="4" s="1" a="1"/>
  <c r="J194" i="4" s="1"/>
  <c r="I188" i="4" a="1"/>
  <c r="I188" i="4" s="1"/>
  <c r="H188" i="4" s="1" a="1"/>
  <c r="H188" i="4" s="1"/>
  <c r="J188" i="4" s="1" a="1"/>
  <c r="J188" i="4" s="1"/>
  <c r="I193" i="4" a="1"/>
  <c r="I193" i="4" s="1"/>
  <c r="H193" i="4" s="1" a="1"/>
  <c r="H193" i="4" s="1"/>
  <c r="J193" i="4" s="1" a="1"/>
  <c r="J193" i="4" s="1"/>
  <c r="I173" i="4" a="1"/>
  <c r="I173" i="4" s="1"/>
  <c r="H173" i="4" s="1" a="1"/>
  <c r="H173" i="4" s="1"/>
  <c r="J173" i="4" s="1" a="1"/>
  <c r="J173" i="4" s="1"/>
  <c r="I181" i="4" a="1"/>
  <c r="I181" i="4" s="1"/>
  <c r="H181" i="4" s="1" a="1"/>
  <c r="H181" i="4" s="1"/>
  <c r="J181" i="4" s="1" a="1"/>
  <c r="J181" i="4" s="1"/>
  <c r="I168" i="4" a="1"/>
  <c r="I168" i="4" s="1"/>
  <c r="H168" i="4" s="1" a="1"/>
  <c r="H168" i="4" s="1"/>
  <c r="J168" i="4" s="1" a="1"/>
  <c r="J168" i="4" s="1"/>
  <c r="I162" i="4" a="1"/>
  <c r="I162" i="4" s="1"/>
  <c r="H162" i="4" s="1" a="1"/>
  <c r="H162" i="4" s="1"/>
  <c r="J162" i="4" s="1" a="1"/>
  <c r="J162" i="4" s="1"/>
  <c r="I135" i="4" a="1"/>
  <c r="I135" i="4" s="1"/>
  <c r="H135" i="4" s="1" a="1"/>
  <c r="H135" i="4" s="1"/>
  <c r="J135" i="4" s="1" a="1"/>
  <c r="J135" i="4" s="1"/>
  <c r="I148" i="4" a="1"/>
  <c r="I148" i="4" s="1"/>
  <c r="H148" i="4" s="1" a="1"/>
  <c r="H148" i="4" s="1"/>
  <c r="J148" i="4" s="1" a="1"/>
  <c r="J148" i="4" s="1"/>
  <c r="I150" i="4" a="1"/>
  <c r="I150" i="4" s="1"/>
  <c r="H150" i="4" s="1" a="1"/>
  <c r="H150" i="4" s="1"/>
  <c r="J150" i="4" s="1" a="1"/>
  <c r="J150" i="4" s="1"/>
  <c r="I154" i="4" a="1"/>
  <c r="I154" i="4" s="1"/>
  <c r="H154" i="4" s="1" a="1"/>
  <c r="H154" i="4" s="1"/>
  <c r="J154" i="4" s="1" a="1"/>
  <c r="J154" i="4" s="1"/>
  <c r="I155" i="4" a="1"/>
  <c r="I155" i="4" s="1"/>
  <c r="H155" i="4" s="1" a="1"/>
  <c r="H155" i="4" s="1"/>
  <c r="J155" i="4" s="1" a="1"/>
  <c r="J155" i="4" s="1"/>
  <c r="I156" i="4" a="1"/>
  <c r="I156" i="4" s="1"/>
  <c r="H156" i="4" s="1" a="1"/>
  <c r="H156" i="4" s="1"/>
  <c r="J156" i="4" s="1" a="1"/>
  <c r="J156" i="4" s="1"/>
  <c r="I117" i="4" a="1"/>
  <c r="I117" i="4" s="1"/>
  <c r="H117" i="4" s="1" a="1"/>
  <c r="H117" i="4" s="1"/>
  <c r="J117" i="4" s="1" a="1"/>
  <c r="J117" i="4" s="1"/>
  <c r="I105" i="4" a="1"/>
  <c r="I105" i="4" s="1"/>
  <c r="H105" i="4" s="1" a="1"/>
  <c r="H105" i="4" s="1"/>
  <c r="J105" i="4" s="1" a="1"/>
  <c r="J105" i="4" s="1"/>
  <c r="I357" i="4" a="1"/>
  <c r="I357" i="4" s="1"/>
  <c r="H357" i="4" s="1" a="1"/>
  <c r="H357" i="4" s="1"/>
  <c r="J357" i="4" s="1" a="1"/>
  <c r="J357" i="4" s="1"/>
  <c r="I106" i="4" a="1"/>
  <c r="I106" i="4" s="1"/>
  <c r="H106" i="4" s="1" a="1"/>
  <c r="H106" i="4" s="1"/>
  <c r="J106" i="4" s="1" a="1"/>
  <c r="J106" i="4" s="1"/>
  <c r="I317" i="4" a="1"/>
  <c r="I317" i="4" s="1"/>
  <c r="H317" i="4" s="1" a="1"/>
  <c r="H317" i="4" s="1"/>
  <c r="J317" i="4" s="1" a="1"/>
  <c r="J317" i="4" s="1"/>
  <c r="I318" i="4" a="1"/>
  <c r="I318" i="4" s="1"/>
  <c r="H318" i="4" s="1" a="1"/>
  <c r="H318" i="4" s="1"/>
  <c r="J318" i="4" s="1" a="1"/>
  <c r="J318" i="4" s="1"/>
  <c r="I59" i="4" a="1"/>
  <c r="I59" i="4" s="1"/>
  <c r="H59" i="4" s="1" a="1"/>
  <c r="H59" i="4" s="1"/>
  <c r="J59" i="4" s="1" a="1"/>
  <c r="J59" i="4" s="1"/>
  <c r="I60" i="4" a="1"/>
  <c r="I60" i="4" s="1"/>
  <c r="H60" i="4" s="1" a="1"/>
  <c r="H60" i="4" s="1"/>
  <c r="J60" i="4" s="1" a="1"/>
  <c r="J60" i="4" s="1"/>
  <c r="I320" i="4" a="1"/>
  <c r="I320" i="4" s="1"/>
  <c r="H320" i="4" s="1" a="1"/>
  <c r="H320" i="4" s="1"/>
  <c r="J320" i="4" s="1" a="1"/>
  <c r="J320" i="4" s="1"/>
  <c r="I63" i="4" a="1"/>
  <c r="I63" i="4" s="1"/>
  <c r="H63" i="4" s="1" a="1"/>
  <c r="H63" i="4" s="1"/>
  <c r="J63" i="4" s="1" a="1"/>
  <c r="J63" i="4" s="1"/>
  <c r="I324" i="4" a="1"/>
  <c r="I324" i="4" s="1"/>
  <c r="H324" i="4" s="1" a="1"/>
  <c r="H324" i="4" s="1"/>
  <c r="J324" i="4" s="1" a="1"/>
  <c r="J324" i="4" s="1"/>
  <c r="I68" i="4" a="1"/>
  <c r="I68" i="4" s="1"/>
  <c r="H68" i="4" s="1" a="1"/>
  <c r="H68" i="4" s="1"/>
  <c r="J68" i="4" s="1" a="1"/>
  <c r="J68" i="4" s="1"/>
  <c r="I237" i="4" a="1"/>
  <c r="I237" i="4" s="1"/>
  <c r="H237" i="4" s="1" a="1"/>
  <c r="H237" i="4" s="1"/>
  <c r="J237" i="4" s="1" a="1"/>
  <c r="J237" i="4" s="1"/>
  <c r="I77" i="4" a="1"/>
  <c r="I77" i="4" s="1"/>
  <c r="H77" i="4" s="1" a="1"/>
  <c r="H77" i="4" s="1"/>
  <c r="J77" i="4" s="1" a="1"/>
  <c r="J77" i="4" s="1"/>
  <c r="I83" i="4" a="1"/>
  <c r="I83" i="4"/>
  <c r="H83" i="4" s="1" a="1"/>
  <c r="H83" i="4" s="1"/>
  <c r="J83" i="4" s="1" a="1"/>
  <c r="J83" i="4" s="1"/>
  <c r="I341" i="4" a="1"/>
  <c r="I341" i="4" s="1"/>
  <c r="H341" i="4" s="1" a="1"/>
  <c r="H341" i="4" s="1"/>
  <c r="J341" i="4" s="1" a="1"/>
  <c r="J341" i="4" s="1"/>
  <c r="I440" i="4" a="1"/>
  <c r="I440" i="4" s="1"/>
  <c r="H440" i="4" s="1" a="1"/>
  <c r="H440" i="4" s="1"/>
  <c r="J440" i="4" s="1" a="1"/>
  <c r="J440" i="4" s="1"/>
  <c r="I91" i="4" a="1"/>
  <c r="I91" i="4" s="1"/>
  <c r="H91" i="4" s="1" a="1"/>
  <c r="H91" i="4" s="1"/>
  <c r="J91" i="4" s="1" a="1"/>
  <c r="J91" i="4" s="1"/>
  <c r="I344" i="4" a="1"/>
  <c r="I344" i="4" s="1"/>
  <c r="H344" i="4" s="1" a="1"/>
  <c r="H344" i="4" s="1"/>
  <c r="J344" i="4" s="1" a="1"/>
  <c r="J344" i="4" s="1"/>
  <c r="I345" i="4" a="1"/>
  <c r="I345" i="4" s="1"/>
  <c r="H345" i="4" s="1" a="1"/>
  <c r="H345" i="4" s="1"/>
  <c r="J345" i="4" s="1" a="1"/>
  <c r="J345" i="4" s="1"/>
  <c r="I349" i="4" a="1"/>
  <c r="I349" i="4" s="1"/>
  <c r="H349" i="4" s="1" a="1"/>
  <c r="H349" i="4" s="1"/>
  <c r="J349" i="4" s="1" a="1"/>
  <c r="J349" i="4" s="1"/>
  <c r="I45" i="4" a="1"/>
  <c r="I45" i="4" s="1"/>
  <c r="H45" i="4" s="1" a="1"/>
  <c r="H45" i="4" s="1"/>
  <c r="J45" i="4" s="1" a="1"/>
  <c r="J45" i="4" s="1"/>
  <c r="I22" i="4" a="1"/>
  <c r="I22" i="4" s="1"/>
  <c r="H22" i="4" s="1" a="1"/>
  <c r="H22" i="4" s="1"/>
  <c r="J22" i="4" s="1" a="1"/>
  <c r="J22" i="4" s="1"/>
  <c r="I23" i="4" a="1"/>
  <c r="I23" i="4"/>
  <c r="H23" i="4" s="1" a="1"/>
  <c r="H23" i="4" s="1"/>
  <c r="J23" i="4" s="1" a="1"/>
  <c r="J23" i="4" s="1"/>
  <c r="I25" i="4" a="1"/>
  <c r="I25" i="4" s="1"/>
  <c r="H25" i="4" s="1" a="1"/>
  <c r="H25" i="4" s="1"/>
  <c r="J25" i="4" s="1" a="1"/>
  <c r="J25" i="4" s="1"/>
  <c r="I8" i="4" a="1"/>
  <c r="I8" i="4" s="1"/>
  <c r="H8" i="4" s="1" a="1"/>
  <c r="H8" i="4" s="1"/>
  <c r="J8" i="4" s="1" a="1"/>
  <c r="J8" i="4" s="1"/>
  <c r="K218" i="4" a="1"/>
  <c r="K218" i="4" s="1"/>
  <c r="K423" i="4" a="1"/>
  <c r="K423" i="4" s="1"/>
  <c r="K414" i="4" a="1"/>
  <c r="K414" i="4" s="1"/>
  <c r="K424" i="4" a="1"/>
  <c r="K424" i="4" s="1"/>
  <c r="K192" i="4" a="1"/>
  <c r="K192" i="4" s="1"/>
  <c r="K386" i="4" a="1"/>
  <c r="K386" i="4" s="1"/>
  <c r="K194" i="4" a="1"/>
  <c r="K194" i="4" s="1"/>
  <c r="K188" i="4" a="1"/>
  <c r="K188" i="4" s="1"/>
  <c r="K105" i="4" a="1"/>
  <c r="K105" i="4" s="1"/>
  <c r="K357" i="4" a="1"/>
  <c r="K357" i="4" s="1"/>
  <c r="K193" i="4" a="1"/>
  <c r="K193" i="4" s="1"/>
  <c r="K106" i="4" a="1"/>
  <c r="K106" i="4" s="1"/>
  <c r="K168" i="4" a="1"/>
  <c r="K168" i="4" s="1"/>
  <c r="K162" i="4" a="1"/>
  <c r="K162" i="4" s="1"/>
  <c r="K45" i="4" a="1"/>
  <c r="K45" i="4" s="1"/>
  <c r="K425" i="4" a="1"/>
  <c r="K425" i="4" s="1"/>
  <c r="K293" i="4" a="1"/>
  <c r="K293" i="4" s="1"/>
  <c r="K432" i="4" a="1"/>
  <c r="K432" i="4" s="1"/>
  <c r="K317" i="4" a="1"/>
  <c r="K317" i="4" s="1"/>
  <c r="K415" i="4" a="1"/>
  <c r="K415" i="4" s="1"/>
  <c r="K416" i="4" a="1"/>
  <c r="K416" i="4" s="1"/>
  <c r="K318" i="4" a="1"/>
  <c r="K318" i="4" s="1"/>
  <c r="K59" i="4" a="1"/>
  <c r="K59" i="4" s="1"/>
  <c r="K228" i="4" a="1"/>
  <c r="K228" i="4" s="1"/>
  <c r="K417" i="4" a="1"/>
  <c r="K417" i="4" s="1"/>
  <c r="K60" i="4" a="1"/>
  <c r="K60" i="4" s="1"/>
  <c r="K320" i="4" a="1"/>
  <c r="K320" i="4" s="1"/>
  <c r="K22" i="4" a="1"/>
  <c r="K22" i="4" s="1"/>
  <c r="K173" i="4" a="1"/>
  <c r="K173" i="4" s="1"/>
  <c r="K198" i="4" a="1"/>
  <c r="K198" i="4" s="1"/>
  <c r="K274" i="4" a="1"/>
  <c r="K274" i="4" s="1"/>
  <c r="K23" i="4" a="1"/>
  <c r="K23" i="4" s="1"/>
  <c r="K63" i="4" a="1"/>
  <c r="K63" i="4" s="1"/>
  <c r="K406" i="4" a="1"/>
  <c r="K406" i="4" s="1"/>
  <c r="K324" i="4" a="1"/>
  <c r="K324" i="4" s="1"/>
  <c r="K298" i="4" a="1"/>
  <c r="K298" i="4" s="1"/>
  <c r="K68" i="4" a="1"/>
  <c r="K68" i="4" s="1"/>
  <c r="K200" i="4" a="1"/>
  <c r="K200" i="4" s="1"/>
  <c r="K407" i="4" a="1"/>
  <c r="K407" i="4" s="1"/>
  <c r="K300" i="4" a="1"/>
  <c r="K300" i="4" s="1"/>
  <c r="K25" i="4" a="1"/>
  <c r="K25" i="4" s="1"/>
  <c r="K135" i="4" a="1"/>
  <c r="K135" i="4" s="1"/>
  <c r="K237" i="4" a="1"/>
  <c r="K237" i="4" s="1"/>
  <c r="K77" i="4" a="1"/>
  <c r="K77" i="4" s="1"/>
  <c r="K117" i="4" a="1"/>
  <c r="K117" i="4" s="1"/>
  <c r="K283" i="4" a="1"/>
  <c r="K283" i="4" s="1"/>
  <c r="K83" i="4" a="1"/>
  <c r="K83" i="4" s="1"/>
  <c r="K247" i="4" a="1"/>
  <c r="K247" i="4" s="1"/>
  <c r="K341" i="4" a="1"/>
  <c r="K341" i="4" s="1"/>
  <c r="K148" i="4" a="1"/>
  <c r="K148" i="4" s="1"/>
  <c r="K420" i="4" a="1"/>
  <c r="K420" i="4" s="1"/>
  <c r="K438" i="4" a="1"/>
  <c r="K438" i="4" s="1"/>
  <c r="K150" i="4" a="1"/>
  <c r="K150" i="4" s="1"/>
  <c r="K439" i="4" a="1"/>
  <c r="K439" i="4" s="1"/>
  <c r="K440" i="4" a="1"/>
  <c r="K440" i="4" s="1"/>
  <c r="K154" i="4" a="1"/>
  <c r="K154" i="4" s="1"/>
  <c r="K181" i="4" a="1"/>
  <c r="K181" i="4" s="1"/>
  <c r="K91" i="4" a="1"/>
  <c r="K91" i="4" s="1"/>
  <c r="K8" i="4" a="1"/>
  <c r="K8" i="4" s="1"/>
  <c r="K380" i="4" a="1"/>
  <c r="K380" i="4" s="1"/>
  <c r="K344" i="4" a="1"/>
  <c r="K344" i="4" s="1"/>
  <c r="K421" i="4" a="1"/>
  <c r="K421" i="4" s="1"/>
  <c r="K204" i="4" a="1"/>
  <c r="K204" i="4" s="1"/>
  <c r="K155" i="4" a="1"/>
  <c r="K155" i="4" s="1"/>
  <c r="K156" i="4" a="1"/>
  <c r="K156" i="4" s="1"/>
  <c r="K345" i="4" a="1"/>
  <c r="K345" i="4" s="1"/>
  <c r="K443" i="4" a="1"/>
  <c r="K443" i="4" s="1"/>
  <c r="K481" i="4" a="1"/>
  <c r="K481" i="4" s="1"/>
  <c r="K349" i="4" a="1"/>
  <c r="K349" i="4" s="1"/>
  <c r="K261" i="4" a="1"/>
  <c r="K26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<sst xmlns="http://schemas.openxmlformats.org/spreadsheetml/2006/main" count="3252" uniqueCount="1562">
  <si>
    <t>Name</t>
  </si>
  <si>
    <t>Role</t>
  </si>
  <si>
    <t>Company</t>
  </si>
  <si>
    <t>Property Address</t>
  </si>
  <si>
    <t>Sale Price</t>
  </si>
  <si>
    <t>Sale Date</t>
  </si>
  <si>
    <t>George Krausz</t>
  </si>
  <si>
    <t>President / Director</t>
  </si>
  <si>
    <t>Motorola Solutions Canada Inc.</t>
  </si>
  <si>
    <t>12 Gresham Road, Toronto</t>
  </si>
  <si>
    <t>Craig Perlmutter</t>
  </si>
  <si>
    <t>President</t>
  </si>
  <si>
    <t>Arcadia Earth Toronto</t>
  </si>
  <si>
    <t>431 Belsize Drive</t>
  </si>
  <si>
    <t>David Tobin</t>
  </si>
  <si>
    <t>Family Law Lawyer / Partner</t>
  </si>
  <si>
    <t>Frenkel Tobin LLP</t>
  </si>
  <si>
    <t>447 Manor Road East, Toronto</t>
  </si>
  <si>
    <t>Janet Bodley</t>
  </si>
  <si>
    <t>Physician / OBGYN; SHSC MDMSA President</t>
  </si>
  <si>
    <t>Sunnybrook Health Sciences Centre / SHSC</t>
  </si>
  <si>
    <t>13 Bayfield Crescent, Toronto</t>
  </si>
  <si>
    <t>Rodney Pryde</t>
  </si>
  <si>
    <t>Rotesco Inc.</t>
  </si>
  <si>
    <t>406 Belsize Drive</t>
  </si>
  <si>
    <t>Mary Rowe</t>
  </si>
  <si>
    <t>President and CEO</t>
  </si>
  <si>
    <t>Canadian Urban Institute</t>
  </si>
  <si>
    <t>88 Ellerbeck Street</t>
  </si>
  <si>
    <t>Emmanuelle Beaulieu Bergeron</t>
  </si>
  <si>
    <t>Associate Principal Cellist</t>
  </si>
  <si>
    <t>Toronto Symphony Orchestra</t>
  </si>
  <si>
    <t>102 Ellerbeck Street</t>
  </si>
  <si>
    <t>Kristina Soutar</t>
  </si>
  <si>
    <t>Partner / Tax Lawyer</t>
  </si>
  <si>
    <t>Thorsteinssons LLP</t>
  </si>
  <si>
    <t>413 Belsize Drive</t>
  </si>
  <si>
    <t>Mark Horrox</t>
  </si>
  <si>
    <t>Principal</t>
  </si>
  <si>
    <t>Third Eye Capital Corp.</t>
  </si>
  <si>
    <t>47 Ellerbeck Street</t>
  </si>
  <si>
    <t>Eric Richardson</t>
  </si>
  <si>
    <t>CFO</t>
  </si>
  <si>
    <t>The CFO Centre Canada</t>
  </si>
  <si>
    <t>1632 Bayview Avenue, Toronto</t>
  </si>
  <si>
    <t>Christopher Saniga</t>
  </si>
  <si>
    <t>Head of Canada</t>
  </si>
  <si>
    <t>ParticipACTION</t>
  </si>
  <si>
    <t>419 Belsize Drive</t>
  </si>
  <si>
    <t>Giovanna Tobin</t>
  </si>
  <si>
    <t>Strategic Sourcing Coordinator</t>
  </si>
  <si>
    <t>Mohawk Medbuy Corporation</t>
  </si>
  <si>
    <t>50 Gresham Road, Toronto</t>
  </si>
  <si>
    <t>Lindsey Hutton</t>
  </si>
  <si>
    <t>Executive Vice President</t>
  </si>
  <si>
    <t>BridgePoint Financial Services Inc.</t>
  </si>
  <si>
    <t>6 Playter Crescent</t>
  </si>
  <si>
    <t>Hirad Roshandel</t>
  </si>
  <si>
    <t>VP of Engineering</t>
  </si>
  <si>
    <t>415 Belsize Drive</t>
  </si>
  <si>
    <t>Margot Perlmutter</t>
  </si>
  <si>
    <t>Head of People &amp; Workplace Operations</t>
  </si>
  <si>
    <t>Perpetua Labs</t>
  </si>
  <si>
    <t>Eli Naiman</t>
  </si>
  <si>
    <t>Digital Dialogues Inc.</t>
  </si>
  <si>
    <t>1662 Bayview Avenue</t>
  </si>
  <si>
    <t>Victoria Johns</t>
  </si>
  <si>
    <t>Web Developer</t>
  </si>
  <si>
    <t>Auth0 by Okta</t>
  </si>
  <si>
    <t>4 MacNaughton Road</t>
  </si>
  <si>
    <t>David Basskin</t>
  </si>
  <si>
    <t>Lawyer</t>
  </si>
  <si>
    <t>David Basskin Consulting Inc</t>
  </si>
  <si>
    <t>4 Donegall Drive</t>
  </si>
  <si>
    <t>Linda Considine</t>
  </si>
  <si>
    <t>Regional Vice President Sales</t>
  </si>
  <si>
    <t>Rootstock</t>
  </si>
  <si>
    <t>67 Ellerbeck Street</t>
  </si>
  <si>
    <t>Man Tam</t>
  </si>
  <si>
    <t>Constellation Software Inc</t>
  </si>
  <si>
    <t>654 Millwood Road</t>
  </si>
  <si>
    <t>Tamara Jordan</t>
  </si>
  <si>
    <t>Lawyer / Policy Division, Tribunals Ontario</t>
  </si>
  <si>
    <t>Ontario Ministry of the Attorney General - Tribunals Ontario</t>
  </si>
  <si>
    <t>5 Butternut Street</t>
  </si>
  <si>
    <t>Veronique Laroch</t>
  </si>
  <si>
    <t>Assistant Vice President, Product Marketing</t>
  </si>
  <si>
    <t>Foresters Financial</t>
  </si>
  <si>
    <t>42 Ellerbeck Street</t>
  </si>
  <si>
    <t>William Dewson</t>
  </si>
  <si>
    <t>Architect / Principal</t>
  </si>
  <si>
    <t>Dewson Architects</t>
  </si>
  <si>
    <t>68 Ellerbeck Street</t>
  </si>
  <si>
    <t>Christine Sloss</t>
  </si>
  <si>
    <t>Licensed Clinical Psychologist / Centre Director</t>
  </si>
  <si>
    <t>Broadview Psychology</t>
  </si>
  <si>
    <t>889 Broadview Avenue</t>
  </si>
  <si>
    <t>Donna Goldenberg</t>
  </si>
  <si>
    <t>Pediatrician</t>
  </si>
  <si>
    <t>28 Bayfield Crescent</t>
  </si>
  <si>
    <t>Mira Barman</t>
  </si>
  <si>
    <t>Family Doctor</t>
  </si>
  <si>
    <t>Taddle Creek Family Health Team</t>
  </si>
  <si>
    <t>39 Ellerbeck Street</t>
  </si>
  <si>
    <t>Carolyn Jarvis</t>
  </si>
  <si>
    <t>Anchor</t>
  </si>
  <si>
    <t>CTV News Channel</t>
  </si>
  <si>
    <t>386 Belsize Drive</t>
  </si>
  <si>
    <t>Erin Macfarlane</t>
  </si>
  <si>
    <t>Senior Manager, Communications</t>
  </si>
  <si>
    <t>Ontario Teachers' Pension Plan</t>
  </si>
  <si>
    <t>5 Donegall Drive</t>
  </si>
  <si>
    <t>Marilyn Mets</t>
  </si>
  <si>
    <t>Co Owner</t>
  </si>
  <si>
    <t>Blue Sky Studio Inc</t>
  </si>
  <si>
    <t>650 Millwood Road</t>
  </si>
  <si>
    <t>Barbara Lockhart</t>
  </si>
  <si>
    <t>SmartHire Human Capital Solutions</t>
  </si>
  <si>
    <t>866 Broadview Avenue</t>
  </si>
  <si>
    <t>Eli Kim-Swallow</t>
  </si>
  <si>
    <t>SideFX Software</t>
  </si>
  <si>
    <t>82 Ellerbeck Street</t>
  </si>
  <si>
    <t>417 Belsize Drive</t>
  </si>
  <si>
    <t>Gideon Tjandra</t>
  </si>
  <si>
    <t>Director</t>
  </si>
  <si>
    <t>Kiewit</t>
  </si>
  <si>
    <t>Gordon Squires</t>
  </si>
  <si>
    <t>Ophthalmologist / Lecturer, Clinician Teacher</t>
  </si>
  <si>
    <t>University of Toronto / St. Michael's Hospital</t>
  </si>
  <si>
    <t>30 Bayfield Crescent</t>
  </si>
  <si>
    <t>Jennifer Edgar</t>
  </si>
  <si>
    <t>Ontario Lottery and Gaming Corporation</t>
  </si>
  <si>
    <t>21 Bayfield Crescent</t>
  </si>
  <si>
    <t>Michael Maclennan</t>
  </si>
  <si>
    <t>Screenwriter, Producer, Playwright</t>
  </si>
  <si>
    <t>73 Ellerbeck Street</t>
  </si>
  <si>
    <t>Rudolf Bartel</t>
  </si>
  <si>
    <t>Garland Commercial Ranges Ltd</t>
  </si>
  <si>
    <t>2 Donegall Drive</t>
  </si>
  <si>
    <t>Shenda Tanchak</t>
  </si>
  <si>
    <t>CEO / Registrar</t>
  </si>
  <si>
    <t>Ontario College of Pharmacists</t>
  </si>
  <si>
    <t>38 Playter Boulevard</t>
  </si>
  <si>
    <t>Biec Thang</t>
  </si>
  <si>
    <t>Clearway</t>
  </si>
  <si>
    <t>100 Ellerbeck Street</t>
  </si>
  <si>
    <t>James Gorham</t>
  </si>
  <si>
    <t>50 Ellerbeck Street</t>
  </si>
  <si>
    <t>Brenna Fourie</t>
  </si>
  <si>
    <t>Director Strategic Operations</t>
  </si>
  <si>
    <t>1Password</t>
  </si>
  <si>
    <t>79 Donegall Drive, Toronto</t>
  </si>
  <si>
    <t>Sheldon Barris</t>
  </si>
  <si>
    <t>1604 Bayview Avenue, Toronto</t>
  </si>
  <si>
    <t>79 Donegall Drive</t>
  </si>
  <si>
    <t>Pieter Fourie</t>
  </si>
  <si>
    <t>Partner</t>
  </si>
  <si>
    <t>Cari Steinberg</t>
  </si>
  <si>
    <t>Owner</t>
  </si>
  <si>
    <t>Design Sos</t>
  </si>
  <si>
    <t>54 Donegall Drive, Toronto</t>
  </si>
  <si>
    <t>Jaclyn Ng</t>
  </si>
  <si>
    <t>48 Gresham Road</t>
  </si>
  <si>
    <t>John Veitch</t>
  </si>
  <si>
    <t>Clearspring Capital Partners</t>
  </si>
  <si>
    <t>16 MacNaughton Road</t>
  </si>
  <si>
    <t>Judith Ma</t>
  </si>
  <si>
    <t>36 Donegall Drive</t>
  </si>
  <si>
    <t>Markus Liik</t>
  </si>
  <si>
    <t>Director and Managing Counsel</t>
  </si>
  <si>
    <t>Royal Bank of Canada</t>
  </si>
  <si>
    <t>8 MacNaughton Road</t>
  </si>
  <si>
    <t>Payman Berjis</t>
  </si>
  <si>
    <t>Allied Properties REIT</t>
  </si>
  <si>
    <t>Managing Director</t>
  </si>
  <si>
    <t>KPMG</t>
  </si>
  <si>
    <t>Adrian Sakamoto</t>
  </si>
  <si>
    <t>Investor Relations</t>
  </si>
  <si>
    <t>Venture North</t>
  </si>
  <si>
    <t>16 Gresham Road</t>
  </si>
  <si>
    <t>Ayeesha Sachedina</t>
  </si>
  <si>
    <t>Deloitte</t>
  </si>
  <si>
    <t>69 Donegall Drive</t>
  </si>
  <si>
    <t>David Banwell</t>
  </si>
  <si>
    <t>S&amp;P Global</t>
  </si>
  <si>
    <t>77 Donegall Drive</t>
  </si>
  <si>
    <t>Jessica Caldwell</t>
  </si>
  <si>
    <t>VP Land Development</t>
  </si>
  <si>
    <t>62 Donegall Drive</t>
  </si>
  <si>
    <t>John Lea</t>
  </si>
  <si>
    <t>Head of Developer Surety</t>
  </si>
  <si>
    <t>Aviva Canada</t>
  </si>
  <si>
    <t>21 Donegall Drive</t>
  </si>
  <si>
    <t>Martha Mcinnis</t>
  </si>
  <si>
    <t>Edelman</t>
  </si>
  <si>
    <t>2 Cameron Crescent</t>
  </si>
  <si>
    <t>Laura Phillips</t>
  </si>
  <si>
    <t>Compassion Canada</t>
  </si>
  <si>
    <t>15 Gresham Road</t>
  </si>
  <si>
    <t>Lindsay Herzog</t>
  </si>
  <si>
    <t>388 Belsize Drive</t>
  </si>
  <si>
    <t>Raymond Ng</t>
  </si>
  <si>
    <t>36 Gresham Road</t>
  </si>
  <si>
    <t>Sarah Veitch</t>
  </si>
  <si>
    <t>Brianna Peniuk</t>
  </si>
  <si>
    <t>Senior Manager, Assurance</t>
  </si>
  <si>
    <t>Howard Fein</t>
  </si>
  <si>
    <t>711 Millwood Road</t>
  </si>
  <si>
    <t>Joseph Lee</t>
  </si>
  <si>
    <t>Founder</t>
  </si>
  <si>
    <t>Volanté Systems</t>
  </si>
  <si>
    <t>78 Donegall Drive, Toronto</t>
  </si>
  <si>
    <t>Maria Jogova</t>
  </si>
  <si>
    <t>Critical Care Specialist</t>
  </si>
  <si>
    <t>27 Donegall Drive</t>
  </si>
  <si>
    <t>Monica Lee</t>
  </si>
  <si>
    <t>Distribution Quality Specialist</t>
  </si>
  <si>
    <t>Molson Coors Beverage Company</t>
  </si>
  <si>
    <t>78 Donegall Drive</t>
  </si>
  <si>
    <t>Steven Dufresne</t>
  </si>
  <si>
    <t>CEO</t>
  </si>
  <si>
    <t>Anthros</t>
  </si>
  <si>
    <t>84 Donegall Drive</t>
  </si>
  <si>
    <t>Susan Krausz</t>
  </si>
  <si>
    <t>Associate Dean</t>
  </si>
  <si>
    <t>Humber College</t>
  </si>
  <si>
    <t>12 Gresham Road</t>
  </si>
  <si>
    <t>Ali Nayebpour</t>
  </si>
  <si>
    <t>404 Belsize Drive</t>
  </si>
  <si>
    <t>Andrew Schaefler</t>
  </si>
  <si>
    <t>Ernst &amp; Young</t>
  </si>
  <si>
    <t>717 Millwood Road</t>
  </si>
  <si>
    <t>Bessy Triantafyllos</t>
  </si>
  <si>
    <t>35 Donegall Drive</t>
  </si>
  <si>
    <t>Brett Stein</t>
  </si>
  <si>
    <t>Director of Real Estate</t>
  </si>
  <si>
    <t>89 Donegall Drive</t>
  </si>
  <si>
    <t>Jake Mcgill</t>
  </si>
  <si>
    <t>VP of Integration</t>
  </si>
  <si>
    <t>Opensity Solutions</t>
  </si>
  <si>
    <t>52 Donegall Drive</t>
  </si>
  <si>
    <t>Kc Parker</t>
  </si>
  <si>
    <t>Goodman &amp; Company Ltd</t>
  </si>
  <si>
    <t>1579 Bayview Avenue</t>
  </si>
  <si>
    <t>Sachin Deshpande</t>
  </si>
  <si>
    <t>66 Donegall Drive</t>
  </si>
  <si>
    <t>Alejandra Matamoros</t>
  </si>
  <si>
    <t>Manager</t>
  </si>
  <si>
    <t>671 Millwood Road, Toronto</t>
  </si>
  <si>
    <t>Jenna Mcgill</t>
  </si>
  <si>
    <t>RN</t>
  </si>
  <si>
    <t>Emergency Department at NYGH</t>
  </si>
  <si>
    <t>Andrew Wood</t>
  </si>
  <si>
    <t>GFW</t>
  </si>
  <si>
    <t>Kevin Lam</t>
  </si>
  <si>
    <t>Doctor</t>
  </si>
  <si>
    <t>Mark Ferrier</t>
  </si>
  <si>
    <t>SafetyCo</t>
  </si>
  <si>
    <t>30 Donegall Drive</t>
  </si>
  <si>
    <t>Dorianna Greatti</t>
  </si>
  <si>
    <t>Manulife</t>
  </si>
  <si>
    <t>432 Manor Road East, Toronto</t>
  </si>
  <si>
    <t>John Di Giulio</t>
  </si>
  <si>
    <t>17 Donegall Drive</t>
  </si>
  <si>
    <t>Thomas Arkell</t>
  </si>
  <si>
    <t>Chief Executive Officer</t>
  </si>
  <si>
    <t>Salon Communications</t>
  </si>
  <si>
    <t>Veronica Gale</t>
  </si>
  <si>
    <t>Educational Resource Facilitator-Special Education</t>
  </si>
  <si>
    <t>436 Manor Road East</t>
  </si>
  <si>
    <t>Matthew Appleby</t>
  </si>
  <si>
    <t>Transamerica</t>
  </si>
  <si>
    <t>25 Donegall Drive</t>
  </si>
  <si>
    <t>Omar Sachedina</t>
  </si>
  <si>
    <t>Anchor and Senior Editor</t>
  </si>
  <si>
    <t>CTV National News</t>
  </si>
  <si>
    <t>Edward Sykes</t>
  </si>
  <si>
    <t>638 Millwood Road</t>
  </si>
  <si>
    <t>Horton Lee</t>
  </si>
  <si>
    <t>P2SK</t>
  </si>
  <si>
    <t>73 Donegall Drive</t>
  </si>
  <si>
    <t>Brian Harrison</t>
  </si>
  <si>
    <t>Senior Advisor</t>
  </si>
  <si>
    <t>First Gulf Corporation</t>
  </si>
  <si>
    <t>Julia Irwin</t>
  </si>
  <si>
    <t>Materials Manager</t>
  </si>
  <si>
    <t>11 Donegall Drive</t>
  </si>
  <si>
    <t>Elizabeth Main</t>
  </si>
  <si>
    <t>SVP</t>
  </si>
  <si>
    <t>Senior Consultant</t>
  </si>
  <si>
    <t>Physician</t>
  </si>
  <si>
    <t>Park Re Canada</t>
  </si>
  <si>
    <t>Homewise</t>
  </si>
  <si>
    <t>Infrastructure and Real Estate Director</t>
  </si>
  <si>
    <t>CIBC</t>
  </si>
  <si>
    <t>Director of IT</t>
  </si>
  <si>
    <t>Domanski Construction LTD</t>
  </si>
  <si>
    <t>Dovigi Orthopaedic Sports Medicine Clinic</t>
  </si>
  <si>
    <t>Independent</t>
  </si>
  <si>
    <t>Government of Canada</t>
  </si>
  <si>
    <t>Senior Legal Counsel</t>
  </si>
  <si>
    <t>Jorlee Holdings Limited</t>
  </si>
  <si>
    <t>Onex</t>
  </si>
  <si>
    <t>Managing Director, PE fund operations</t>
  </si>
  <si>
    <t>Advance Endoscopy and Specialist Centre</t>
  </si>
  <si>
    <t>Distance to MGH (km)</t>
  </si>
  <si>
    <t>442 Heath Street East</t>
  </si>
  <si>
    <t>John Hooper</t>
  </si>
  <si>
    <t>Hooper Studio</t>
  </si>
  <si>
    <t>Peter Clarke</t>
  </si>
  <si>
    <t>Fairfax Financial Holdings Ltd</t>
  </si>
  <si>
    <t>433 Heath Street East</t>
  </si>
  <si>
    <t>Andrew Disipio</t>
  </si>
  <si>
    <t>Mining &amp; Corporate Finance Lawyer</t>
  </si>
  <si>
    <t>Bennett Jones LLP</t>
  </si>
  <si>
    <t>22 Bennington Heights Drive</t>
  </si>
  <si>
    <t>Lauren Mullen</t>
  </si>
  <si>
    <t>US Immigration Attorney</t>
  </si>
  <si>
    <t>Vialto Partners LLP</t>
  </si>
  <si>
    <t>Kaelen Haworth</t>
  </si>
  <si>
    <t>Kaelen Haworth Creative Consultancy</t>
  </si>
  <si>
    <t>3 Harper Gardens</t>
  </si>
  <si>
    <t>Simon Haworth</t>
  </si>
  <si>
    <t>Eckler Ltd</t>
  </si>
  <si>
    <t>David Clark</t>
  </si>
  <si>
    <t>RBC</t>
  </si>
  <si>
    <t>66 Harper Avenue</t>
  </si>
  <si>
    <t>Hilary Evans</t>
  </si>
  <si>
    <t>Infrastructure Ontario</t>
  </si>
  <si>
    <t>Anthony Hammill</t>
  </si>
  <si>
    <t>Partner, Investments</t>
  </si>
  <si>
    <t>Ewing Morris &amp; Co</t>
  </si>
  <si>
    <t>444 Heath Street East</t>
  </si>
  <si>
    <t>Heather Cooke</t>
  </si>
  <si>
    <t>Former Chief Investment Officer</t>
  </si>
  <si>
    <t>Audra Group</t>
  </si>
  <si>
    <t>82 Hudson Drive</t>
  </si>
  <si>
    <t>William Taylor</t>
  </si>
  <si>
    <t>Boldr</t>
  </si>
  <si>
    <t>Tammer Kamel</t>
  </si>
  <si>
    <t>General Partner</t>
  </si>
  <si>
    <t>Antler</t>
  </si>
  <si>
    <t>11 Lumley Avenue</t>
  </si>
  <si>
    <t>Madeline Kelly</t>
  </si>
  <si>
    <t>Senior Coordinator of Policy</t>
  </si>
  <si>
    <t>Ontario Public Service</t>
  </si>
  <si>
    <t>44 Bennington Heights Drive, Toronto</t>
  </si>
  <si>
    <t>Thomas Kewley</t>
  </si>
  <si>
    <t>Givingly Inc</t>
  </si>
  <si>
    <t>Alexander Dobranowski</t>
  </si>
  <si>
    <t>Healwell AI</t>
  </si>
  <si>
    <t>52 Bennington Heights Drive, Toronto</t>
  </si>
  <si>
    <t>Hanieh Rezai</t>
  </si>
  <si>
    <t>Architect and Urban Designer</t>
  </si>
  <si>
    <t>Freelance</t>
  </si>
  <si>
    <t>271 Rosedale Heights Drive, Toronto</t>
  </si>
  <si>
    <t>Hooman Fazlollahi</t>
  </si>
  <si>
    <t>Quad Infotech</t>
  </si>
  <si>
    <t>Jennifer Latta</t>
  </si>
  <si>
    <t>Royal Lepage</t>
  </si>
  <si>
    <t>Adam Corrin</t>
  </si>
  <si>
    <t>Managing Partner</t>
  </si>
  <si>
    <t>Founder Brands</t>
  </si>
  <si>
    <t>192 Bayview Heights Drive, Toronto</t>
  </si>
  <si>
    <t>Ashley Mcdonald</t>
  </si>
  <si>
    <t>Account Administration &amp; Marketing</t>
  </si>
  <si>
    <t>Hanser</t>
  </si>
  <si>
    <t>338 Inglewood Drive, Toronto</t>
  </si>
  <si>
    <t>Richard Mcdonald</t>
  </si>
  <si>
    <t>Space Place Planetarium Canada</t>
  </si>
  <si>
    <t>Awdah Arraf</t>
  </si>
  <si>
    <t>Head of Operations</t>
  </si>
  <si>
    <t>Nextdata</t>
  </si>
  <si>
    <t>60 Bennington Heights Drive, Toronto</t>
  </si>
  <si>
    <t>Tawfiq Zeidan Shwiri</t>
  </si>
  <si>
    <t>Internal Medicine Physician</t>
  </si>
  <si>
    <t>Cardiomatters Diagnostics</t>
  </si>
  <si>
    <t>Catherine Wood</t>
  </si>
  <si>
    <t>Chief of Product</t>
  </si>
  <si>
    <t>Coast Capital Savings</t>
  </si>
  <si>
    <t>2 Orchard Green</t>
  </si>
  <si>
    <t>Yves Denomme</t>
  </si>
  <si>
    <t>Dye &amp; Durham Ltd</t>
  </si>
  <si>
    <t>Rashay Jethalal</t>
  </si>
  <si>
    <t>4 Evergreen Gardens</t>
  </si>
  <si>
    <t>Suha Jethalal</t>
  </si>
  <si>
    <t>Vice President</t>
  </si>
  <si>
    <t>Spark Power</t>
  </si>
  <si>
    <t>Gita Alizadeh</t>
  </si>
  <si>
    <t>Dentist</t>
  </si>
  <si>
    <t>Evergreen Health Centre-Yonge St Mission</t>
  </si>
  <si>
    <t>27 Bennington Heights Drive, Toronto</t>
  </si>
  <si>
    <t>Amy Boddington</t>
  </si>
  <si>
    <t>87 Hudson Drive</t>
  </si>
  <si>
    <t>Andrew Boddington</t>
  </si>
  <si>
    <t>Policy Concepts Inc</t>
  </si>
  <si>
    <t>Charu Ruparelia</t>
  </si>
  <si>
    <t>J K Hannaford</t>
  </si>
  <si>
    <t>87 Harper Avenue</t>
  </si>
  <si>
    <t>Shailen Chande</t>
  </si>
  <si>
    <t>Northwest Healthcare Properties REIT</t>
  </si>
  <si>
    <t>Todd Burdon</t>
  </si>
  <si>
    <t>CMO</t>
  </si>
  <si>
    <t>Irpinia Kitchens</t>
  </si>
  <si>
    <t>40 Bennington Heights Drive, Toronto</t>
  </si>
  <si>
    <t>Vanessa Burdon</t>
  </si>
  <si>
    <t>Executive Assistant</t>
  </si>
  <si>
    <t>Tricon Residential</t>
  </si>
  <si>
    <t>Jeffrey Gallant</t>
  </si>
  <si>
    <t>Co-Founder</t>
  </si>
  <si>
    <t>Capitalize for Kids</t>
  </si>
  <si>
    <t>47 Bennington Heights Drive, Toronto</t>
  </si>
  <si>
    <t>David Campbell</t>
  </si>
  <si>
    <t>President &amp; Co-Founder</t>
  </si>
  <si>
    <t>352 Inglewood Drive, Toronto</t>
  </si>
  <si>
    <t>Martha Mccain</t>
  </si>
  <si>
    <t>McCain Foods Limited</t>
  </si>
  <si>
    <t>506 St. Clair Avenue East</t>
  </si>
  <si>
    <t>David Fleming</t>
  </si>
  <si>
    <t>Broker &amp; Founder</t>
  </si>
  <si>
    <t>441 Heath Street East</t>
  </si>
  <si>
    <t>David Parsons</t>
  </si>
  <si>
    <t>Portfolio Manager &amp; Senior Wealth Advisor</t>
  </si>
  <si>
    <t>BMO Nesbitt Burns</t>
  </si>
  <si>
    <t>500 St. Clair Avenue East</t>
  </si>
  <si>
    <t>Eric Shelson</t>
  </si>
  <si>
    <t>Vice President Of Sales</t>
  </si>
  <si>
    <t>SharkNinja</t>
  </si>
  <si>
    <t>5 Brendan Road</t>
  </si>
  <si>
    <t>Natalie Braude</t>
  </si>
  <si>
    <t>McCarthy Tetrault LLP</t>
  </si>
  <si>
    <t>Anthony Niblett</t>
  </si>
  <si>
    <t>Professor</t>
  </si>
  <si>
    <t>UofT</t>
  </si>
  <si>
    <t>436 Heath Street East</t>
  </si>
  <si>
    <t>Wayne Morris</t>
  </si>
  <si>
    <t>Council</t>
  </si>
  <si>
    <t>Dutton Brock LLP</t>
  </si>
  <si>
    <t>14 Heathbridge Park</t>
  </si>
  <si>
    <t>Carolyn Lawrence</t>
  </si>
  <si>
    <t>Clearpath</t>
  </si>
  <si>
    <t>19 Evergreen Gardens</t>
  </si>
  <si>
    <t>David Tweedie</t>
  </si>
  <si>
    <t>Managing Director &amp; Co-Head, REIB</t>
  </si>
  <si>
    <t>Matthew Mackenzie</t>
  </si>
  <si>
    <t>437 Heath Street East</t>
  </si>
  <si>
    <t>Caleigh O'Keane</t>
  </si>
  <si>
    <t>Design Researcher</t>
  </si>
  <si>
    <t>Normative</t>
  </si>
  <si>
    <t>168 Bayview Heights Drive, Toronto</t>
  </si>
  <si>
    <t>Ronan O'Keane</t>
  </si>
  <si>
    <t>DW Healthcare Partners</t>
  </si>
  <si>
    <t>Tawfiq Popatia</t>
  </si>
  <si>
    <t>Head</t>
  </si>
  <si>
    <t>Onex Partners</t>
  </si>
  <si>
    <t>359 Inglewood Drive</t>
  </si>
  <si>
    <t>Maggie Lever</t>
  </si>
  <si>
    <t>Art Gallery of Ontario</t>
  </si>
  <si>
    <t>57 Bennington Heights Drive, Toronto</t>
  </si>
  <si>
    <t>Owen Brown</t>
  </si>
  <si>
    <t>SGGG Fund Services</t>
  </si>
  <si>
    <t>8 Moorehill Drive, Toronto</t>
  </si>
  <si>
    <t>Sumitpal Jhas</t>
  </si>
  <si>
    <t>Trillium Health Partners</t>
  </si>
  <si>
    <t>2 Lumley Avenue</t>
  </si>
  <si>
    <t>Amal Abdel-Mesih</t>
  </si>
  <si>
    <t>Anatomical Pathologist</t>
  </si>
  <si>
    <t>Michael Garron Hospital</t>
  </si>
  <si>
    <t>440 Heath Street East</t>
  </si>
  <si>
    <t>Antoine "Tony" Eskander</t>
  </si>
  <si>
    <t>Head of Surgical Oncology</t>
  </si>
  <si>
    <t>Sunnybrook Health Sciences Centre</t>
  </si>
  <si>
    <t>Sean Bourne</t>
  </si>
  <si>
    <t>Director, Wealth Management</t>
  </si>
  <si>
    <t>170 Bayview Heights Drive, Toronto</t>
  </si>
  <si>
    <t>Sheryl Bourne</t>
  </si>
  <si>
    <t>Gabriel Becher</t>
  </si>
  <si>
    <t>DWHP</t>
  </si>
  <si>
    <t>17 Noel Avenue, Toronto</t>
  </si>
  <si>
    <t>Lauren Austin</t>
  </si>
  <si>
    <t>Designer</t>
  </si>
  <si>
    <t>KOHO</t>
  </si>
  <si>
    <t>45 Bennington Heights Drive, Toronto</t>
  </si>
  <si>
    <t>Ryan Austin</t>
  </si>
  <si>
    <t>Founder &amp; CEO</t>
  </si>
  <si>
    <t>Jonathan Hill</t>
  </si>
  <si>
    <t>Head of Sales</t>
  </si>
  <si>
    <t>ATB Cormark Capital Markets</t>
  </si>
  <si>
    <t>351 Inglewood Drive</t>
  </si>
  <si>
    <t>Brian Bastable</t>
  </si>
  <si>
    <t>FAX Real Estate</t>
  </si>
  <si>
    <t>96 Hudson Drive</t>
  </si>
  <si>
    <t>Dawna Townsend</t>
  </si>
  <si>
    <t>Global Head of Learning</t>
  </si>
  <si>
    <t>12 Moorehill Drive, Toronto</t>
  </si>
  <si>
    <t>Michael Chan</t>
  </si>
  <si>
    <t>CPP Investments</t>
  </si>
  <si>
    <t>Jillian Walsh</t>
  </si>
  <si>
    <t>GCI Canada</t>
  </si>
  <si>
    <t>21 Noel Avenue, Toronto</t>
  </si>
  <si>
    <t>Peter Jelley</t>
  </si>
  <si>
    <t>Bulldog Capital</t>
  </si>
  <si>
    <t>1 Garden Circle</t>
  </si>
  <si>
    <t>Anamika Gadia</t>
  </si>
  <si>
    <t>KPMG Canada</t>
  </si>
  <si>
    <t>18 Burnham Road</t>
  </si>
  <si>
    <t>Andrew Brandt</t>
  </si>
  <si>
    <t>Sports Illustrated</t>
  </si>
  <si>
    <t>Fui Low</t>
  </si>
  <si>
    <t>Head Of Product Design</t>
  </si>
  <si>
    <t>24 Bennington Heights Drive, Toronto</t>
  </si>
  <si>
    <t>Dijana Ebach</t>
  </si>
  <si>
    <t>Chief of Staff</t>
  </si>
  <si>
    <t>Klick Health</t>
  </si>
  <si>
    <t>61 Bennington Heights Drive, Toronto</t>
  </si>
  <si>
    <t>Richard Ebach</t>
  </si>
  <si>
    <t>Senior VP, Product &amp; Technology</t>
  </si>
  <si>
    <t>TripArc</t>
  </si>
  <si>
    <t>Erin Bellmore</t>
  </si>
  <si>
    <t>University of Toronto</t>
  </si>
  <si>
    <t>30 Bennington Heights Drive, Toronto</t>
  </si>
  <si>
    <t>Jesse Harrison</t>
  </si>
  <si>
    <t>Fixed Income Broker</t>
  </si>
  <si>
    <t>Shorcan Brokers</t>
  </si>
  <si>
    <t>Craig Moffat</t>
  </si>
  <si>
    <t>Senior Executive</t>
  </si>
  <si>
    <t>Torex Gold</t>
  </si>
  <si>
    <t>6 Moorehill Drive, Toronto</t>
  </si>
  <si>
    <t>Lee Condari</t>
  </si>
  <si>
    <t>President / CEO</t>
  </si>
  <si>
    <t>Alliance Lighting</t>
  </si>
  <si>
    <t>431 Heath Street East</t>
  </si>
  <si>
    <t>Melissa Schyven</t>
  </si>
  <si>
    <t>Sherrard Kuzz LLLP</t>
  </si>
  <si>
    <t>9 Burnham Road</t>
  </si>
  <si>
    <t>Timothy Tutsch</t>
  </si>
  <si>
    <t>Managing Director, Head</t>
  </si>
  <si>
    <t>BMO Financial Institutions Canada, IB at BMO</t>
  </si>
  <si>
    <t>72 Harper Avenue</t>
  </si>
  <si>
    <t>Anne Twigge-Molecey</t>
  </si>
  <si>
    <t>Board Director</t>
  </si>
  <si>
    <t>Various Non Profit Boards</t>
  </si>
  <si>
    <t>117 Hudson Drive</t>
  </si>
  <si>
    <t>Christopher Twigge-Molecey</t>
  </si>
  <si>
    <t>U of T</t>
  </si>
  <si>
    <t>Gregory Stewart</t>
  </si>
  <si>
    <t>Belleville General Hospital</t>
  </si>
  <si>
    <t>421 Heath Street East</t>
  </si>
  <si>
    <t>Aleesa Carter</t>
  </si>
  <si>
    <t>Adjunct Lecturer</t>
  </si>
  <si>
    <t>Leslie Dan Faculty of Pharmacy</t>
  </si>
  <si>
    <t>208 Bayview Heights Drive, Toronto</t>
  </si>
  <si>
    <t>Amir Peyman</t>
  </si>
  <si>
    <t>Manager, Quality Control</t>
  </si>
  <si>
    <t>Tas</t>
  </si>
  <si>
    <t>9 Noel Avenue, Toronto</t>
  </si>
  <si>
    <t>Azadeh Shabanpour</t>
  </si>
  <si>
    <t>Jerome Leis</t>
  </si>
  <si>
    <t>Medical Director</t>
  </si>
  <si>
    <t>Robert Dunford</t>
  </si>
  <si>
    <t>510 St Clair Avenue East</t>
  </si>
  <si>
    <t>Wendy Cecil-Cockwell</t>
  </si>
  <si>
    <t>Bart Lipski</t>
  </si>
  <si>
    <t>Jellybean</t>
  </si>
  <si>
    <t>1 Brendan Road</t>
  </si>
  <si>
    <t>Natalie Rebot</t>
  </si>
  <si>
    <t>TOYMAK3RS</t>
  </si>
  <si>
    <t>Christoph Haller</t>
  </si>
  <si>
    <t>Toronto General Hospital</t>
  </si>
  <si>
    <t>93 Hudson Drive</t>
  </si>
  <si>
    <t>Sybille Graef</t>
  </si>
  <si>
    <t>Beth Mccharles</t>
  </si>
  <si>
    <t>Mental Performance Consultant</t>
  </si>
  <si>
    <t>Toronto Sceptres</t>
  </si>
  <si>
    <t>43 Bennington Heights Drive, Toronto</t>
  </si>
  <si>
    <t>Ryan Lapointe</t>
  </si>
  <si>
    <t>Connor, Clark &amp; Lunn</t>
  </si>
  <si>
    <t>Mark Schultz</t>
  </si>
  <si>
    <t>Runwithit Synthetics</t>
  </si>
  <si>
    <t>3 Burnham Road</t>
  </si>
  <si>
    <t>Jason Leblanc</t>
  </si>
  <si>
    <t>Senior Industrial Designer</t>
  </si>
  <si>
    <t>NeuronicWorks Inc</t>
  </si>
  <si>
    <t>1 Moorehill Drive, Toronto</t>
  </si>
  <si>
    <t>Monica Leblanc</t>
  </si>
  <si>
    <t>Senior Private Banker</t>
  </si>
  <si>
    <t>Gianluigi Bisleri</t>
  </si>
  <si>
    <t>Surgeon</t>
  </si>
  <si>
    <t>190 Bayview Heights Drive, Toronto</t>
  </si>
  <si>
    <t>Timothy Van Alstyne</t>
  </si>
  <si>
    <t>319 Inglewood Drive</t>
  </si>
  <si>
    <t>Vittoria Zubani</t>
  </si>
  <si>
    <t>Julia Rambeau Smith</t>
  </si>
  <si>
    <t>Head of Travel</t>
  </si>
  <si>
    <t>MRG</t>
  </si>
  <si>
    <t>10 Burnham Road</t>
  </si>
  <si>
    <t>Patrick Smith</t>
  </si>
  <si>
    <t>Td Bank Group</t>
  </si>
  <si>
    <t>Zhihong Zhang</t>
  </si>
  <si>
    <t>Chief Technology Officer</t>
  </si>
  <si>
    <t>Burning Rock Biotech</t>
  </si>
  <si>
    <t>10 Moorehill Drive, Toronto</t>
  </si>
  <si>
    <t>Bertina Koka</t>
  </si>
  <si>
    <t>Toronto Star Homes</t>
  </si>
  <si>
    <t>3 Lumley Avenue</t>
  </si>
  <si>
    <t>Ilia Koka</t>
  </si>
  <si>
    <t>Analyst</t>
  </si>
  <si>
    <t>Patricia Adamson</t>
  </si>
  <si>
    <t>Family Counselling Center</t>
  </si>
  <si>
    <t>14 Bennington Heights Drive</t>
  </si>
  <si>
    <t>Mark Schofield</t>
  </si>
  <si>
    <t>Managing Director &amp; Senior Partner</t>
  </si>
  <si>
    <t>426 Heath Street East</t>
  </si>
  <si>
    <t>Toni Schofield</t>
  </si>
  <si>
    <t>Vita Health Cardiac Center</t>
  </si>
  <si>
    <t>Bradley Willock</t>
  </si>
  <si>
    <t>Olympic Athlete</t>
  </si>
  <si>
    <t>Rowing Canada</t>
  </si>
  <si>
    <t>8 Burnham Road</t>
  </si>
  <si>
    <t>Nicole Maunder</t>
  </si>
  <si>
    <t>Havas</t>
  </si>
  <si>
    <t>Allan Macdonald</t>
  </si>
  <si>
    <t>Superior Plus Corp</t>
  </si>
  <si>
    <t>445 Heath Street East</t>
  </si>
  <si>
    <t>Na Fan</t>
  </si>
  <si>
    <t>194 Bayview Heights Drive, Toronto</t>
  </si>
  <si>
    <t>Yiyu Zheng</t>
  </si>
  <si>
    <t>Jamie Hengartner</t>
  </si>
  <si>
    <t>Founder &amp; Chief Creative</t>
  </si>
  <si>
    <t>Rylea Bloom</t>
  </si>
  <si>
    <t>5 Moorehill Drive, Toronto</t>
  </si>
  <si>
    <t>Robert Hengartner</t>
  </si>
  <si>
    <t>Hengartner Enterprises</t>
  </si>
  <si>
    <t>Jessica Starck</t>
  </si>
  <si>
    <t>Cpp Investments</t>
  </si>
  <si>
    <t>1 Harper Gardens</t>
  </si>
  <si>
    <t>Marc Schwarz</t>
  </si>
  <si>
    <t>Head of Canada Sales</t>
  </si>
  <si>
    <t>Erin Boynton</t>
  </si>
  <si>
    <t>Orthopedic Surgeon</t>
  </si>
  <si>
    <t>Toronto Orthopedic Practice</t>
  </si>
  <si>
    <t>20 Bennington Heights Drive</t>
  </si>
  <si>
    <t>Laura Harris</t>
  </si>
  <si>
    <t>Maguire Model and Talent Management</t>
  </si>
  <si>
    <t>4 Red Oaks Crescent, Toronto</t>
  </si>
  <si>
    <t>Michael Harris</t>
  </si>
  <si>
    <t>Journalist</t>
  </si>
  <si>
    <t>Mahsa Afghahi</t>
  </si>
  <si>
    <t>3 Windmill Road</t>
  </si>
  <si>
    <t>Nima Sanajian</t>
  </si>
  <si>
    <t>Wealthsimple</t>
  </si>
  <si>
    <t>Clara Chan</t>
  </si>
  <si>
    <t>Ophthalmologist</t>
  </si>
  <si>
    <t>Toronto Western Hospital</t>
  </si>
  <si>
    <t>1 Lumley Avenue</t>
  </si>
  <si>
    <t>George Kioulmetis</t>
  </si>
  <si>
    <t>22 Moorehill Drive, Toronto</t>
  </si>
  <si>
    <t>Jian Shen</t>
  </si>
  <si>
    <t>Inventory Planner</t>
  </si>
  <si>
    <t>Dominion Colour Corp</t>
  </si>
  <si>
    <t>464 St Clair Avenue East</t>
  </si>
  <si>
    <t>John Watson</t>
  </si>
  <si>
    <t>Board Member</t>
  </si>
  <si>
    <t>15 Heathbridge Park</t>
  </si>
  <si>
    <t>Ryan Hung</t>
  </si>
  <si>
    <t>Holland Bloorview Kids Hospital</t>
  </si>
  <si>
    <t>Shawn Desantis</t>
  </si>
  <si>
    <t>55 Bennington Heights Drive, Toronto</t>
  </si>
  <si>
    <t>Kimberly Edwards</t>
  </si>
  <si>
    <t>7 Orchard Green</t>
  </si>
  <si>
    <t>Robert Agar</t>
  </si>
  <si>
    <t>Chief Operating Officer</t>
  </si>
  <si>
    <t>Starlight Investments</t>
  </si>
  <si>
    <t>Jonathan Piurko</t>
  </si>
  <si>
    <t>Sage Capital Partners Inc</t>
  </si>
  <si>
    <t>8 Evergreen Gardens</t>
  </si>
  <si>
    <t>Tara Piurko</t>
  </si>
  <si>
    <t>Miller Thomson LLP</t>
  </si>
  <si>
    <t>Ian Anderson</t>
  </si>
  <si>
    <t>CKF Inc</t>
  </si>
  <si>
    <t>3 Noel Avenue, Toronto</t>
  </si>
  <si>
    <t>Robert Cutler</t>
  </si>
  <si>
    <t>4 Brendan Road</t>
  </si>
  <si>
    <t>Sarah Joyce</t>
  </si>
  <si>
    <t>Account Executive</t>
  </si>
  <si>
    <t>Microsoft</t>
  </si>
  <si>
    <t>Gilad Rom</t>
  </si>
  <si>
    <t>Opener</t>
  </si>
  <si>
    <t>6 Lumley Avenue</t>
  </si>
  <si>
    <t>Justine Giddens</t>
  </si>
  <si>
    <t>Kamyab Shahmiri</t>
  </si>
  <si>
    <t>14 Burnham Road</t>
  </si>
  <si>
    <t>Christopher Kitamura</t>
  </si>
  <si>
    <t>Geriatric Psychiatrist</t>
  </si>
  <si>
    <t>Baycrest Health Sciences</t>
  </si>
  <si>
    <t>16 Lumley Avenue</t>
  </si>
  <si>
    <t>Joanna Lang</t>
  </si>
  <si>
    <t>BMO</t>
  </si>
  <si>
    <t>6 Evergreen Gardens</t>
  </si>
  <si>
    <t>Melissa Li</t>
  </si>
  <si>
    <t>201 Bayview Heights Drive</t>
  </si>
  <si>
    <t>Robert Kelsall</t>
  </si>
  <si>
    <t>Head of Credit Training</t>
  </si>
  <si>
    <t>CanDeal</t>
  </si>
  <si>
    <t>5 Lumley Avenue</t>
  </si>
  <si>
    <t>Cynthia Maxwell</t>
  </si>
  <si>
    <t>Maternal-fetal medicine</t>
  </si>
  <si>
    <t>Mount Sinai Hospital</t>
  </si>
  <si>
    <t>167 Bayview Heights Drive, Toronto</t>
  </si>
  <si>
    <t>Johannes Keunen</t>
  </si>
  <si>
    <t>Gynecologist</t>
  </si>
  <si>
    <t>18 Lumley Avenue</t>
  </si>
  <si>
    <t>Sa'Ad Shah</t>
  </si>
  <si>
    <t>Noetic Fund</t>
  </si>
  <si>
    <t>Jeffrey Kong</t>
  </si>
  <si>
    <t>7 Windmill Road</t>
  </si>
  <si>
    <t>Adam Moody</t>
  </si>
  <si>
    <t>Actor &amp; Playwright</t>
  </si>
  <si>
    <t>Playwrights Guild of Canada</t>
  </si>
  <si>
    <t>504 St. Clair Avenue East</t>
  </si>
  <si>
    <t>Jaclyn Sheppard</t>
  </si>
  <si>
    <t>Administrative Assistant</t>
  </si>
  <si>
    <t>Trebas Institute</t>
  </si>
  <si>
    <t>Kerri-Ann Clare Sylvestre</t>
  </si>
  <si>
    <t>13 Heathbridge Park</t>
  </si>
  <si>
    <t>Shaan Sheerazi</t>
  </si>
  <si>
    <t>52 Harper Avenue</t>
  </si>
  <si>
    <t>Sandra Heldman</t>
  </si>
  <si>
    <t>Ontario Securities Commission</t>
  </si>
  <si>
    <t>342 Inglewood Drive, Toronto</t>
  </si>
  <si>
    <t>Nigel Scott</t>
  </si>
  <si>
    <t>89 Hudson Drive</t>
  </si>
  <si>
    <t>Aurelie Bryce</t>
  </si>
  <si>
    <t>Lifestyle Editor</t>
  </si>
  <si>
    <t>Canadian Living Magazine</t>
  </si>
  <si>
    <t>24 Burnham Road</t>
  </si>
  <si>
    <t>Jean Fraser</t>
  </si>
  <si>
    <t>Retired Partner</t>
  </si>
  <si>
    <t>Osler</t>
  </si>
  <si>
    <t>256 Glenrose Avenue</t>
  </si>
  <si>
    <t>John Evans</t>
  </si>
  <si>
    <t>Employment Lawyer</t>
  </si>
  <si>
    <t>7 Burnham Road</t>
  </si>
  <si>
    <t>Philip Bolton</t>
  </si>
  <si>
    <t>RBC Capital Markets</t>
  </si>
  <si>
    <t>77 Hudson Drive</t>
  </si>
  <si>
    <t>Curtis Merry</t>
  </si>
  <si>
    <t>Executive</t>
  </si>
  <si>
    <t>Equilar</t>
  </si>
  <si>
    <t>437 St Clair Avenue East</t>
  </si>
  <si>
    <t>Melanie Mccann</t>
  </si>
  <si>
    <t>Four Seasons</t>
  </si>
  <si>
    <t>Tina Meisami-Fard</t>
  </si>
  <si>
    <t>Yorkville Oral and Maxillofacial Surgery</t>
  </si>
  <si>
    <t>7 Red Oaks Crescent, Toronto</t>
  </si>
  <si>
    <t>Nicolas Beltran</t>
  </si>
  <si>
    <t>Agentsoft</t>
  </si>
  <si>
    <t>4 Windmill Road</t>
  </si>
  <si>
    <t>Robert "Bob" Lawrence</t>
  </si>
  <si>
    <t>CAO</t>
  </si>
  <si>
    <t>Alamos Gold Inc</t>
  </si>
  <si>
    <t>9 Heathbridge Park</t>
  </si>
  <si>
    <t>Carla Joyce</t>
  </si>
  <si>
    <t>Pharmacist</t>
  </si>
  <si>
    <t>Medicine Shoppe</t>
  </si>
  <si>
    <t>80 Harper Avenue</t>
  </si>
  <si>
    <t>Robert Joyce</t>
  </si>
  <si>
    <t>Alma Economics</t>
  </si>
  <si>
    <t>Brinley Tilley</t>
  </si>
  <si>
    <t>Global Senior VP</t>
  </si>
  <si>
    <t>HCL Technologies</t>
  </si>
  <si>
    <t>74 Hudson Drive</t>
  </si>
  <si>
    <t>Kerry Stirton</t>
  </si>
  <si>
    <t>Alignvest Management</t>
  </si>
  <si>
    <t>354 Inglewood Drive, Toronto</t>
  </si>
  <si>
    <t>Mehrnaz Ahmadi</t>
  </si>
  <si>
    <t>Head of Digital Quality Engineering</t>
  </si>
  <si>
    <t>210 Bayview Heights Drive, Toronto</t>
  </si>
  <si>
    <t>Mohammad Farahani</t>
  </si>
  <si>
    <t>Senior Account Manager</t>
  </si>
  <si>
    <t>TD Bank Group</t>
  </si>
  <si>
    <t>Paul Singh</t>
  </si>
  <si>
    <t>Blakes</t>
  </si>
  <si>
    <t>4 Noel Avenue, Toronto</t>
  </si>
  <si>
    <t>Mary Falzone</t>
  </si>
  <si>
    <t>Athenahealth</t>
  </si>
  <si>
    <t>6 Brendan Road</t>
  </si>
  <si>
    <t>Roma Kojima</t>
  </si>
  <si>
    <t>Data Operations Senior Director, Customer Success</t>
  </si>
  <si>
    <t>PointClickCare</t>
  </si>
  <si>
    <t>20 Lumley Avenue</t>
  </si>
  <si>
    <t>Edith Katona</t>
  </si>
  <si>
    <t>417 Heath Street East</t>
  </si>
  <si>
    <t>John Pylypczak</t>
  </si>
  <si>
    <t>Concrete Design Communications</t>
  </si>
  <si>
    <t>Jane Lo</t>
  </si>
  <si>
    <t>Citi</t>
  </si>
  <si>
    <t>11 Orchard Green</t>
  </si>
  <si>
    <t>Carrie Cook</t>
  </si>
  <si>
    <t>Global Head of Investment &amp; Corporate Banking</t>
  </si>
  <si>
    <t>BMO Capital Markets</t>
  </si>
  <si>
    <t>313 Inglewood Drive</t>
  </si>
  <si>
    <t>Janet Rodger</t>
  </si>
  <si>
    <t>Goodwin Private Equity</t>
  </si>
  <si>
    <t>51 Bennington Heights Drive, Toronto</t>
  </si>
  <si>
    <t>Michael Ride</t>
  </si>
  <si>
    <t>Grizzly Door Systems</t>
  </si>
  <si>
    <t>Amy Bourne</t>
  </si>
  <si>
    <t>Showrunner</t>
  </si>
  <si>
    <t>CBC Dragons' Den</t>
  </si>
  <si>
    <t>450 Heath Street East</t>
  </si>
  <si>
    <t>Ayako Sugino</t>
  </si>
  <si>
    <t>Ikebana artist, Interior designer</t>
  </si>
  <si>
    <t>Sugino Studio</t>
  </si>
  <si>
    <t>163 Bayview Heights Drive, Toronto</t>
  </si>
  <si>
    <t>Catherine Mccartney</t>
  </si>
  <si>
    <t>McCartney Enterprises</t>
  </si>
  <si>
    <t>1 Noel Avenue, Toronto</t>
  </si>
  <si>
    <t>John Mccartney</t>
  </si>
  <si>
    <t>SVP Global Wealth &amp; Head</t>
  </si>
  <si>
    <t>ScotiaMcLeod</t>
  </si>
  <si>
    <t>Christie Johnson</t>
  </si>
  <si>
    <t>Director, People &amp; Culture</t>
  </si>
  <si>
    <t>Little Mushroom</t>
  </si>
  <si>
    <t>474 St Clair Avenue East</t>
  </si>
  <si>
    <t>Demetrios Papamanolis</t>
  </si>
  <si>
    <t>Senior Counsel</t>
  </si>
  <si>
    <t>Osteoporosis Canada</t>
  </si>
  <si>
    <t>Mahmood Fazl</t>
  </si>
  <si>
    <t>SHSC</t>
  </si>
  <si>
    <t>58 Harper Avenue</t>
  </si>
  <si>
    <t>Dennis Ko</t>
  </si>
  <si>
    <t>KASE Insurance</t>
  </si>
  <si>
    <t>11 Moorehill Drive, Toronto</t>
  </si>
  <si>
    <t>Ronald Tratch</t>
  </si>
  <si>
    <t>Senior Vice President and Chief Risk Officer</t>
  </si>
  <si>
    <t>EQB Inc</t>
  </si>
  <si>
    <t>227 Moore Avenue</t>
  </si>
  <si>
    <t>Sally Armstrong</t>
  </si>
  <si>
    <t>73 Hudson Drive</t>
  </si>
  <si>
    <t>Scott Conrod</t>
  </si>
  <si>
    <t>Arcadis Canada</t>
  </si>
  <si>
    <t>John Delmage</t>
  </si>
  <si>
    <t>Decode Entertainment Inc</t>
  </si>
  <si>
    <t>265 Rosedale Heights Drive, Toronto</t>
  </si>
  <si>
    <t>Karen Pidgurski</t>
  </si>
  <si>
    <t>Unit Publicist</t>
  </si>
  <si>
    <t>Stuart Mcnabb</t>
  </si>
  <si>
    <t>179 Bayview Heights Drive, Toronto</t>
  </si>
  <si>
    <t>Valerie Mcnabb</t>
  </si>
  <si>
    <t>Diane Mcdonald</t>
  </si>
  <si>
    <t>3 Garden Circle</t>
  </si>
  <si>
    <t>Gregory Mcdonald</t>
  </si>
  <si>
    <t>FIG Origination</t>
  </si>
  <si>
    <t>Ian Barnett</t>
  </si>
  <si>
    <t>Ensyn Corporation</t>
  </si>
  <si>
    <t>111 Hudson Drive</t>
  </si>
  <si>
    <t>Garson Hoffman</t>
  </si>
  <si>
    <t>Creative Planogram</t>
  </si>
  <si>
    <t>112 Hudson Drive</t>
  </si>
  <si>
    <t>David Bruce</t>
  </si>
  <si>
    <t>Harbourfront Wealth Group</t>
  </si>
  <si>
    <t>103 Hudson Drive, Toronto</t>
  </si>
  <si>
    <t>Blair Creed</t>
  </si>
  <si>
    <t>Vice President, International and Luxury</t>
  </si>
  <si>
    <t>Sotheby's International Realty</t>
  </si>
  <si>
    <t>492 St. Clair Avenue East</t>
  </si>
  <si>
    <t>Craig Graham</t>
  </si>
  <si>
    <t>Investments Advisor</t>
  </si>
  <si>
    <t>429 Heath Street East</t>
  </si>
  <si>
    <t>Edward Barrett</t>
  </si>
  <si>
    <t>Hospital for Sick Children</t>
  </si>
  <si>
    <t>21 Moorehill Drive, Toronto</t>
  </si>
  <si>
    <t>Kevin Talmage</t>
  </si>
  <si>
    <t>2 Windmill Road</t>
  </si>
  <si>
    <t>Laura Dunne</t>
  </si>
  <si>
    <t>Arlington Partners International</t>
  </si>
  <si>
    <t>Brian Portt</t>
  </si>
  <si>
    <t>YAM Financial Solutions Inc</t>
  </si>
  <si>
    <t>14 Valley View</t>
  </si>
  <si>
    <t>Laurie Freudenberg</t>
  </si>
  <si>
    <t>David Roode</t>
  </si>
  <si>
    <t>5 Noel Avenue, Toronto</t>
  </si>
  <si>
    <t>Andrew Ptak</t>
  </si>
  <si>
    <t>Vice President-Engineering</t>
  </si>
  <si>
    <t>GEO</t>
  </si>
  <si>
    <t>8 Orchard Green</t>
  </si>
  <si>
    <t>Salim Maherali</t>
  </si>
  <si>
    <t>Adobe Canada</t>
  </si>
  <si>
    <t>3 Moorehill Drive, Toronto</t>
  </si>
  <si>
    <t>Shabin Nanji</t>
  </si>
  <si>
    <t>Anatomic Pathologist</t>
  </si>
  <si>
    <t>Armen Kulidjian</t>
  </si>
  <si>
    <t>Consultant</t>
  </si>
  <si>
    <t>Rosewood Custom Homes Ltd</t>
  </si>
  <si>
    <t>189 Bayview Heights Drive, Toronto</t>
  </si>
  <si>
    <t>Shoghig Kulidjian</t>
  </si>
  <si>
    <t>Wendy Evans</t>
  </si>
  <si>
    <t>Evans &amp; Company Consultants Inc</t>
  </si>
  <si>
    <t>17 Lumley Avenue</t>
  </si>
  <si>
    <t>Diane Meschino</t>
  </si>
  <si>
    <t>Health Standards Organization</t>
  </si>
  <si>
    <t>14 Brendan Road</t>
  </si>
  <si>
    <t>Eric Rosen</t>
  </si>
  <si>
    <t>Omnicom Media Group</t>
  </si>
  <si>
    <t>182 Bayview Heights Drive, Toronto</t>
  </si>
  <si>
    <t>Naida Graham</t>
  </si>
  <si>
    <t>Researcher</t>
  </si>
  <si>
    <t>19 Noel Avenue, Toronto</t>
  </si>
  <si>
    <t>Stephen Julian</t>
  </si>
  <si>
    <t>Weirong Huang</t>
  </si>
  <si>
    <t>Power Design Engineer</t>
  </si>
  <si>
    <t>Hydro One</t>
  </si>
  <si>
    <t>458 St Clair Avenue East</t>
  </si>
  <si>
    <t>Marsha Copp</t>
  </si>
  <si>
    <t>Household Capital</t>
  </si>
  <si>
    <t>55 Harper Avenue</t>
  </si>
  <si>
    <t>Phillip Boyd</t>
  </si>
  <si>
    <t>Senior Vice President</t>
  </si>
  <si>
    <t>CI Financial Corp</t>
  </si>
  <si>
    <t>9 Red Oaks Crescent, Toronto</t>
  </si>
  <si>
    <t>Yuet Ing</t>
  </si>
  <si>
    <t>Smart &amp; Biggar LLP</t>
  </si>
  <si>
    <t>Daniel Mao</t>
  </si>
  <si>
    <t>Engineer</t>
  </si>
  <si>
    <t>LTRI</t>
  </si>
  <si>
    <t>20 Burnham Road</t>
  </si>
  <si>
    <t>Vice Chair</t>
  </si>
  <si>
    <t>Paul Pelton</t>
  </si>
  <si>
    <t>Brand Driven Media</t>
  </si>
  <si>
    <t>16 Valley View</t>
  </si>
  <si>
    <t>Anne Kane Jeffries</t>
  </si>
  <si>
    <t>Senior Media Executive</t>
  </si>
  <si>
    <t>Zoomer Media</t>
  </si>
  <si>
    <t>13 Burnham Road</t>
  </si>
  <si>
    <t>Stu Jeffries</t>
  </si>
  <si>
    <t>Zoomer Radio</t>
  </si>
  <si>
    <t>Tonis Tollasepp</t>
  </si>
  <si>
    <t>INSINK</t>
  </si>
  <si>
    <t>10 Red Oaks Crescent, Toronto</t>
  </si>
  <si>
    <t>Andrew Fortier</t>
  </si>
  <si>
    <t>Founding Partner</t>
  </si>
  <si>
    <t>Alphi Capital</t>
  </si>
  <si>
    <t>11 Brendan Road</t>
  </si>
  <si>
    <t>Barbara Payne</t>
  </si>
  <si>
    <t>SS&amp;C Technologies</t>
  </si>
  <si>
    <t>193 Bayview Heights Drive, Toronto</t>
  </si>
  <si>
    <t>Bernard Cummings</t>
  </si>
  <si>
    <t>Radiation Oncology</t>
  </si>
  <si>
    <t>Princess Margaret Cancer Centre</t>
  </si>
  <si>
    <t>10 Lumley Avenue</t>
  </si>
  <si>
    <t>Brian Baldwin</t>
  </si>
  <si>
    <t>18 Noel Avenue, Toronto</t>
  </si>
  <si>
    <t>Carol Nielsen</t>
  </si>
  <si>
    <t>Filion Wakely Thorup</t>
  </si>
  <si>
    <t>355 Inglewood Drive</t>
  </si>
  <si>
    <t>Christopher Shaw</t>
  </si>
  <si>
    <t>One Queen Capital</t>
  </si>
  <si>
    <t>99 Hudson Drive, Toronto</t>
  </si>
  <si>
    <t>David Payne</t>
  </si>
  <si>
    <t>HomeGyde</t>
  </si>
  <si>
    <t>Francis Chin</t>
  </si>
  <si>
    <t>CIBC World Markets</t>
  </si>
  <si>
    <t>51 Harper Avenue</t>
  </si>
  <si>
    <t>Gabriel Vigna</t>
  </si>
  <si>
    <t>C &amp; A Tedesco Waterproofing Inc</t>
  </si>
  <si>
    <t>191 Bayview Heights Drive, Toronto</t>
  </si>
  <si>
    <t>George Main</t>
  </si>
  <si>
    <t>Weedadvisor Inc</t>
  </si>
  <si>
    <t>36 Bennington Heights Drive, Toronto</t>
  </si>
  <si>
    <t>Gregor Binkley</t>
  </si>
  <si>
    <t>PCK Intellectual Property</t>
  </si>
  <si>
    <t>100 Hudson Drive</t>
  </si>
  <si>
    <t>Harry Kent</t>
  </si>
  <si>
    <t>Rbc Dominion Securities Inc</t>
  </si>
  <si>
    <t>139 Hudson Drive, Toronto</t>
  </si>
  <si>
    <t>Jacques Prevost</t>
  </si>
  <si>
    <t>CIBC Global Asset Management</t>
  </si>
  <si>
    <t>18 Valley View</t>
  </si>
  <si>
    <t>Jan Seaborn</t>
  </si>
  <si>
    <t>Lawyer, Former Vice Chair</t>
  </si>
  <si>
    <t>Ontario Municipal Board</t>
  </si>
  <si>
    <t>73 Harper Avenue</t>
  </si>
  <si>
    <t>Janet Hood</t>
  </si>
  <si>
    <t>Basil Leaf Culinary Services</t>
  </si>
  <si>
    <t>173 Bayview Heights Drive, Toronto</t>
  </si>
  <si>
    <t>Jennifer Shaw</t>
  </si>
  <si>
    <t>Legal Marketing</t>
  </si>
  <si>
    <t>8 Garden Circle</t>
  </si>
  <si>
    <t>June Low</t>
  </si>
  <si>
    <t>3Macs</t>
  </si>
  <si>
    <t>28 Bennington Heights Drive, Toronto</t>
  </si>
  <si>
    <t>Kevin Hurlburt</t>
  </si>
  <si>
    <t>Mary Murphy</t>
  </si>
  <si>
    <t>Senior Director, Capital Markets</t>
  </si>
  <si>
    <t>20 Noel Avenue, Toronto</t>
  </si>
  <si>
    <t>Matthew Rivard</t>
  </si>
  <si>
    <t>Google</t>
  </si>
  <si>
    <t>90 Hudson Drive</t>
  </si>
  <si>
    <t>Michael Browne</t>
  </si>
  <si>
    <t>Flexport</t>
  </si>
  <si>
    <t>58 Bennington Heights Drive, Toronto</t>
  </si>
  <si>
    <t>Michael Drajewicz</t>
  </si>
  <si>
    <t>IA Private wealth</t>
  </si>
  <si>
    <t>7 Garden Circle</t>
  </si>
  <si>
    <t>Michael Elliott</t>
  </si>
  <si>
    <t>325 Inglewood Drive</t>
  </si>
  <si>
    <t>Michele Duggan</t>
  </si>
  <si>
    <t>Pharma Services Group</t>
  </si>
  <si>
    <t>427 Heath Street East</t>
  </si>
  <si>
    <t>Min Qiu</t>
  </si>
  <si>
    <t>Software Engineer</t>
  </si>
  <si>
    <t>Fiix by Rockwell Automation</t>
  </si>
  <si>
    <t>144 Hudson Drive, Toronto</t>
  </si>
  <si>
    <t>Morris Saffer</t>
  </si>
  <si>
    <t>Chairman</t>
  </si>
  <si>
    <t>407 Heath Street East</t>
  </si>
  <si>
    <t>Paula Elliott</t>
  </si>
  <si>
    <t>Consultant &amp; Principal</t>
  </si>
  <si>
    <t>Oliver Wyman</t>
  </si>
  <si>
    <t>Rani Jamieson</t>
  </si>
  <si>
    <t>Belsize Consulting Group Inc</t>
  </si>
  <si>
    <t>331 Rose Park Drive</t>
  </si>
  <si>
    <t>Robert Woods</t>
  </si>
  <si>
    <t>BLG</t>
  </si>
  <si>
    <t>188 Bayview Heights Drive, Toronto</t>
  </si>
  <si>
    <t>Roberta Lang</t>
  </si>
  <si>
    <t>Austin Conscious Leadership LLC</t>
  </si>
  <si>
    <t>74 Harper Avenue</t>
  </si>
  <si>
    <t>Shaun Parsons</t>
  </si>
  <si>
    <t>Associate</t>
  </si>
  <si>
    <t>Aird &amp; Berlis LLP</t>
  </si>
  <si>
    <t>212 Bayview Heights Drive, Toronto</t>
  </si>
  <si>
    <t>Susan Maidment</t>
  </si>
  <si>
    <t>Employment and Social Development Canada</t>
  </si>
  <si>
    <t>69 Hudson Drive</t>
  </si>
  <si>
    <t>Timothy Coristine</t>
  </si>
  <si>
    <t>PineBridge Investments</t>
  </si>
  <si>
    <t>317 Inglewood Drive</t>
  </si>
  <si>
    <t>Tina Howse</t>
  </si>
  <si>
    <t>34 Bennington Heights Drive, Toronto</t>
  </si>
  <si>
    <t>William Jenkins</t>
  </si>
  <si>
    <t>THP</t>
  </si>
  <si>
    <t>14 Moorehill Drive, Toronto</t>
  </si>
  <si>
    <t>Owner &amp; Sculptor</t>
  </si>
  <si>
    <t>Prestige Score (0-100)</t>
  </si>
  <si>
    <t>Seniority Tier</t>
  </si>
  <si>
    <t>Wealth Signal</t>
  </si>
  <si>
    <t>Donor Category</t>
  </si>
  <si>
    <t>Founder / Owner</t>
  </si>
  <si>
    <t>High</t>
  </si>
  <si>
    <t>Other</t>
  </si>
  <si>
    <t>C-Suite</t>
  </si>
  <si>
    <t>Very High</t>
  </si>
  <si>
    <t>Finance</t>
  </si>
  <si>
    <t>Professional</t>
  </si>
  <si>
    <t>Medium</t>
  </si>
  <si>
    <t>Law</t>
  </si>
  <si>
    <t>Government</t>
  </si>
  <si>
    <t>Private Equity / VC</t>
  </si>
  <si>
    <t>Individual Contributor</t>
  </si>
  <si>
    <t>Low</t>
  </si>
  <si>
    <t>Technology</t>
  </si>
  <si>
    <t>VP / Head</t>
  </si>
  <si>
    <t>Healthcare</t>
  </si>
  <si>
    <t>Consulting</t>
  </si>
  <si>
    <t>Media</t>
  </si>
  <si>
    <t>Real Estate</t>
  </si>
  <si>
    <t>Nonprofit</t>
  </si>
  <si>
    <t>VP</t>
  </si>
  <si>
    <t>Community Health Center</t>
  </si>
  <si>
    <t>Cognota</t>
  </si>
  <si>
    <t>Insight Capital Partners</t>
  </si>
  <si>
    <t>BCG</t>
  </si>
  <si>
    <t>CEM</t>
  </si>
  <si>
    <t>Founding Family Member</t>
  </si>
  <si>
    <t>CEO, Financial Solutions</t>
  </si>
  <si>
    <t>Chair</t>
  </si>
  <si>
    <t>Presidents Circle</t>
  </si>
  <si>
    <t>Dallas Green</t>
  </si>
  <si>
    <t>Singer / Songwriter</t>
  </si>
  <si>
    <t>43 Douglas Crescent, Toronto</t>
  </si>
  <si>
    <t>Leah Miller</t>
  </si>
  <si>
    <t>Ron Bleichman</t>
  </si>
  <si>
    <t>Senior Director, Professor Services</t>
  </si>
  <si>
    <t>Epicor</t>
  </si>
  <si>
    <t>25 Douglas Crescent, Toronto</t>
  </si>
  <si>
    <t>Taris Janitens</t>
  </si>
  <si>
    <t>Toronto Luxury Suites</t>
  </si>
  <si>
    <t>6 Governors Road, Toronto</t>
  </si>
  <si>
    <t>Katherine Taylor</t>
  </si>
  <si>
    <t>7 Douglas Crescent, Toronto</t>
  </si>
  <si>
    <t>Sarah Stirling-Moffet</t>
  </si>
  <si>
    <t>McMillan LLP</t>
  </si>
  <si>
    <t>63 Douglas Crescent, Toronto</t>
  </si>
  <si>
    <t>Alyssa Ages</t>
  </si>
  <si>
    <t>20 Douglas Crescent, Toronto</t>
  </si>
  <si>
    <t>Darryl Cruz</t>
  </si>
  <si>
    <t>McCarthy Tétrault LLP</t>
  </si>
  <si>
    <t>10 Governors Road, Toronto</t>
  </si>
  <si>
    <t>Jonathan Ages</t>
  </si>
  <si>
    <t>Founder and CEO</t>
  </si>
  <si>
    <t>Craig Leon</t>
  </si>
  <si>
    <t>COO</t>
  </si>
  <si>
    <t>14 Douglas Crescent, Toronto</t>
  </si>
  <si>
    <t>Marie Christakis</t>
  </si>
  <si>
    <t>44 Douglas Crescent, Toronto</t>
  </si>
  <si>
    <t>Panos Christakis</t>
  </si>
  <si>
    <t>Timothy Booth</t>
  </si>
  <si>
    <t>VP, Head of Finance</t>
  </si>
  <si>
    <t>Canadian Tire Canada</t>
  </si>
  <si>
    <t>45 Douglas Crescent, Toronto</t>
  </si>
  <si>
    <t>Amanda Kolhatkar</t>
  </si>
  <si>
    <t>Veterinarian/Owner</t>
  </si>
  <si>
    <t>23 Douglas Crescent, Toronto</t>
  </si>
  <si>
    <t>D'Arcy Walsh</t>
  </si>
  <si>
    <t>Portfolio Manager</t>
  </si>
  <si>
    <t>Northwater Capital Management</t>
  </si>
  <si>
    <t>Donald Wright</t>
  </si>
  <si>
    <t>Winnington Capital</t>
  </si>
  <si>
    <t>19 Governors Road, Toronto</t>
  </si>
  <si>
    <t>Tilak Mendis</t>
  </si>
  <si>
    <t>Neurologist</t>
  </si>
  <si>
    <t>2 Governors Road, Toronto</t>
  </si>
  <si>
    <t>Alana Miller</t>
  </si>
  <si>
    <t>Resident Physician Internal Medicine</t>
  </si>
  <si>
    <t>94 Douglas Crescent, Toronto</t>
  </si>
  <si>
    <t>Chelsey Wiggins</t>
  </si>
  <si>
    <t>Northleaf Capital Partners</t>
  </si>
  <si>
    <t>25 Governors Road, Toronto</t>
  </si>
  <si>
    <t>David Humphrey</t>
  </si>
  <si>
    <t>Greenspan Humphrey Makepeace LLP</t>
  </si>
  <si>
    <t>Aimee Collier</t>
  </si>
  <si>
    <t>Ontario Power Generation Inc</t>
  </si>
  <si>
    <t>12 Douglas Crescent, Toronto</t>
  </si>
  <si>
    <t>Marlon Hylton</t>
  </si>
  <si>
    <t>INNOV-8</t>
  </si>
  <si>
    <t>24 Douglas Crescent, Toronto</t>
  </si>
  <si>
    <t>Bruno Atristain</t>
  </si>
  <si>
    <t>51 Douglas Crescent, Toronto</t>
  </si>
  <si>
    <t>Hetal Pandya</t>
  </si>
  <si>
    <t>Samantha Krol</t>
  </si>
  <si>
    <t>Corporate Commercial Lawyer Toronto</t>
  </si>
  <si>
    <t>32 Nesbitt Drive, Toronto</t>
  </si>
  <si>
    <t>James Bowen</t>
  </si>
  <si>
    <t>Loderock Advisors</t>
  </si>
  <si>
    <t>33 Douglas Crescent, Toronto</t>
  </si>
  <si>
    <t>William Simpson</t>
  </si>
  <si>
    <t>Arctec Wealth Inc</t>
  </si>
  <si>
    <t>38 Nesbitt Drive, Toronto</t>
  </si>
  <si>
    <t>Ryan Mulvihill</t>
  </si>
  <si>
    <t>Tequila Sunrise</t>
  </si>
  <si>
    <t>42 Nesbitt Drive, Toronto</t>
  </si>
  <si>
    <t>Eric Perelshtein</t>
  </si>
  <si>
    <t>VP, Identity Sales</t>
  </si>
  <si>
    <t>TMT ID</t>
  </si>
  <si>
    <t>3 Governors Road, Toronto</t>
  </si>
  <si>
    <t>Eunryoung Sa</t>
  </si>
  <si>
    <t>Project Manager</t>
  </si>
  <si>
    <t>UHN Data</t>
  </si>
  <si>
    <t>29 Nesbitt Drive, Toronto</t>
  </si>
  <si>
    <t>Jamie Pizale</t>
  </si>
  <si>
    <t>46 Douglas Crescent, Toronto</t>
  </si>
  <si>
    <t>Lorraine Chen</t>
  </si>
  <si>
    <t>CC&amp;L</t>
  </si>
  <si>
    <t>Umber Hamid</t>
  </si>
  <si>
    <t>Chief Executive Office</t>
  </si>
  <si>
    <t>BoomBox Sound</t>
  </si>
  <si>
    <t>58 Nesbitt Drive, Toronto</t>
  </si>
  <si>
    <t>Ali Malek</t>
  </si>
  <si>
    <t>President &amp; CEO</t>
  </si>
  <si>
    <t>Petro-Techna</t>
  </si>
  <si>
    <t>11 Governors Road, Toronto</t>
  </si>
  <si>
    <t>Dani Goraichy</t>
  </si>
  <si>
    <t>Chief Risk Officer</t>
  </si>
  <si>
    <t>OPTrust</t>
  </si>
  <si>
    <t>49 Douglas Crescent, Toronto</t>
  </si>
  <si>
    <t>Caroline Dabu</t>
  </si>
  <si>
    <t>Strategic Advisor</t>
  </si>
  <si>
    <t>7 Nesbitt Drive, Toronto</t>
  </si>
  <si>
    <t>John Lloyd</t>
  </si>
  <si>
    <t>11 Douglas Crescent, Toronto</t>
  </si>
  <si>
    <t>Yifan Li</t>
  </si>
  <si>
    <t>Meta</t>
  </si>
  <si>
    <t>4 Nesbitt Drive, Toronto</t>
  </si>
  <si>
    <t>Gordon Keller</t>
  </si>
  <si>
    <t>UHN</t>
  </si>
  <si>
    <t>1 Douglas Crescent, Toronto</t>
  </si>
  <si>
    <t>Marion Kennedy</t>
  </si>
  <si>
    <t>Sylvia Lee</t>
  </si>
  <si>
    <t>Teachers’ Private Capital</t>
  </si>
  <si>
    <t>30 Nesbitt Drive, Toronto</t>
  </si>
  <si>
    <t>Michael Kennedy</t>
  </si>
  <si>
    <t>Hicks Morley</t>
  </si>
  <si>
    <t>65 Douglas Crescent, Toronto</t>
  </si>
  <si>
    <t>Mona Kennedy</t>
  </si>
  <si>
    <t>Chief Financial Officer</t>
  </si>
  <si>
    <t>Maxim Afanasyev</t>
  </si>
  <si>
    <t>2 Douglas Crescent, Toronto</t>
  </si>
  <si>
    <t>David Kwinter</t>
  </si>
  <si>
    <t>Emergency Medicine Physician</t>
  </si>
  <si>
    <t>Cayman Medical</t>
  </si>
  <si>
    <t>26 Governors Road, Toronto</t>
  </si>
  <si>
    <t>Saied Mahboubi</t>
  </si>
  <si>
    <t>Green Dot Architects</t>
  </si>
  <si>
    <t>6 Douglas Crescent, Toronto</t>
  </si>
  <si>
    <t>Alice Law</t>
  </si>
  <si>
    <t>AYF Law Firm</t>
  </si>
  <si>
    <t>19 Douglas Crescent, Toronto</t>
  </si>
  <si>
    <t>Harry Liu</t>
  </si>
  <si>
    <t>VP of Investment</t>
  </si>
  <si>
    <t>Costone Group</t>
  </si>
  <si>
    <t>5 Douglas Crescent, Toronto</t>
  </si>
  <si>
    <t>Justin Levine</t>
  </si>
  <si>
    <t>Aston Bridge Capital</t>
  </si>
  <si>
    <t>4 Douglas Crescent, Toronto</t>
  </si>
  <si>
    <t>Mia Williamson</t>
  </si>
  <si>
    <t>Northwind Professional Institute</t>
  </si>
  <si>
    <t>35 Douglas Crescent, Toronto</t>
  </si>
  <si>
    <t>Monica Franklin</t>
  </si>
  <si>
    <t>Bank of Montreal</t>
  </si>
  <si>
    <t>20 Nesbitt Drive, Toronto</t>
  </si>
  <si>
    <t>Natasha Leighl</t>
  </si>
  <si>
    <t>1 Governors Road, Toronto</t>
  </si>
  <si>
    <t>Sabrina Zollo</t>
  </si>
  <si>
    <t>Lactalis Canada</t>
  </si>
  <si>
    <t>37 Douglas Crescent, Toronto</t>
  </si>
  <si>
    <t>William Appell</t>
  </si>
  <si>
    <t>Gastroenterologist</t>
  </si>
  <si>
    <t>1 Nesbitt Drive, Toronto</t>
  </si>
  <si>
    <t>ML infrastructure</t>
  </si>
  <si>
    <t>Yanchun Yan</t>
  </si>
  <si>
    <t>Five Fortune Inc</t>
  </si>
  <si>
    <t>29 Park Lane Circle</t>
  </si>
  <si>
    <t>Robert Mulholland</t>
  </si>
  <si>
    <t>Toronto Plastic Surgeons Wellness Centre</t>
  </si>
  <si>
    <t>27 Park Lane Circle</t>
  </si>
  <si>
    <t>Fabrizio Cortellucci</t>
  </si>
  <si>
    <t>Zancor Homes</t>
  </si>
  <si>
    <t>6 Park Lane Circle</t>
  </si>
  <si>
    <t>Zhao Wang</t>
  </si>
  <si>
    <t>Technical leader</t>
  </si>
  <si>
    <t>Alphawave Semi</t>
  </si>
  <si>
    <t>37 Park Lane Circle</t>
  </si>
  <si>
    <t>Andrew Curnew</t>
  </si>
  <si>
    <t>28 Park Lane Circle, North York</t>
  </si>
  <si>
    <t>Rita Kilislian</t>
  </si>
  <si>
    <t>Specialty Endodontics</t>
  </si>
  <si>
    <t>28 Park Lane Circle, Toronto</t>
  </si>
  <si>
    <t>Susan Hawkins</t>
  </si>
  <si>
    <t>Payments Canada</t>
  </si>
  <si>
    <t>2 High Point Road</t>
  </si>
  <si>
    <t>Robert Ziner</t>
  </si>
  <si>
    <t>Advanced Biomaterial Technologies</t>
  </si>
  <si>
    <t>33 Post Road</t>
  </si>
  <si>
    <t>Arthur Lai</t>
  </si>
  <si>
    <t>Division Director</t>
  </si>
  <si>
    <t>Macquarie</t>
  </si>
  <si>
    <t>12 Park Lane Circle</t>
  </si>
  <si>
    <t>Maggie Lai</t>
  </si>
  <si>
    <t>Lee Lau</t>
  </si>
  <si>
    <t>Alignvest</t>
  </si>
  <si>
    <t>65 The Bridle Path</t>
  </si>
  <si>
    <t>John Yonemoto</t>
  </si>
  <si>
    <t>Co-founder and Chief Investment Officer</t>
  </si>
  <si>
    <t>Albright Capital</t>
  </si>
  <si>
    <t>75 The Bridle Path</t>
  </si>
  <si>
    <t>Josephine Kwan</t>
  </si>
  <si>
    <t>Bridlewood Mall Management Inc</t>
  </si>
  <si>
    <t>3 Bridle Heath Gate, Toronto</t>
  </si>
  <si>
    <t>Leonard Lee</t>
  </si>
  <si>
    <t>Wildeboer Dellelce LLP</t>
  </si>
  <si>
    <t>23 High Point Road, Toronto</t>
  </si>
  <si>
    <t>Mehrdad Barghian</t>
  </si>
  <si>
    <t>Shields Pharma Inc</t>
  </si>
  <si>
    <t>7 High Point Road</t>
  </si>
  <si>
    <t>Ritu Sharma</t>
  </si>
  <si>
    <t>CRM - Senior Vice President</t>
  </si>
  <si>
    <t>Marsh</t>
  </si>
  <si>
    <t>31 Post Road</t>
  </si>
  <si>
    <t>-</t>
  </si>
  <si>
    <t>Ki Equity Corp</t>
  </si>
  <si>
    <t>Redwoods Asset Management Inc</t>
  </si>
  <si>
    <t>Peel District School Board</t>
  </si>
  <si>
    <t>Corey Dyer</t>
  </si>
  <si>
    <t>271 Glen Manor Drive East, Toronto</t>
  </si>
  <si>
    <t>Iris Fischer</t>
  </si>
  <si>
    <t>Blake, Cassels &amp; Graydon LLP</t>
  </si>
  <si>
    <t>114 Pine Glen Road, Toronto</t>
  </si>
  <si>
    <t>Jennifer Murray</t>
  </si>
  <si>
    <t>283 Glen Manor Drive East, Toronto</t>
  </si>
  <si>
    <t>Joshua Smith</t>
  </si>
  <si>
    <t>281 Glen Manor Drive East</t>
  </si>
  <si>
    <t>Emily Partington</t>
  </si>
  <si>
    <t>Quinn+Partners</t>
  </si>
  <si>
    <t>121 Pine Glen Road</t>
  </si>
  <si>
    <t>Kaitlyn Barry</t>
  </si>
  <si>
    <t>Senior Director</t>
  </si>
  <si>
    <t>117 Balsam Avenue</t>
  </si>
  <si>
    <t>Gary Gregg</t>
  </si>
  <si>
    <t>AppleOne Group of Companies</t>
  </si>
  <si>
    <t>108 Balsam Avenue</t>
  </si>
  <si>
    <t>Teri Macdonald</t>
  </si>
  <si>
    <t>25 Pine Crescent</t>
  </si>
  <si>
    <t>Jamie Hancock</t>
  </si>
  <si>
    <t>116 Spruce Hill Road</t>
  </si>
  <si>
    <t>Janine Mccready</t>
  </si>
  <si>
    <t>103 Balsam Avenue, Toronto</t>
  </si>
  <si>
    <t>Neil De Gray</t>
  </si>
  <si>
    <t>Executive Director</t>
  </si>
  <si>
    <t>Aubrey Basdeo</t>
  </si>
  <si>
    <t>Guardian Capital Group Limited</t>
  </si>
  <si>
    <t>17 Pine Crescent, Toronto</t>
  </si>
  <si>
    <t>John Saunders</t>
  </si>
  <si>
    <t>38 Pine Crescent</t>
  </si>
  <si>
    <t>110 Spruce Hill Road</t>
  </si>
  <si>
    <t>Christopher Gage</t>
  </si>
  <si>
    <t>105 Pine Glen Road, Toronto</t>
  </si>
  <si>
    <t>Annikki Desmarais</t>
  </si>
  <si>
    <t>Cantactix Solutions Usa Inc</t>
  </si>
  <si>
    <t>273 Glen Manor Drive East, Toronto</t>
  </si>
  <si>
    <t>Cameron Macdonald</t>
  </si>
  <si>
    <t>Mergers &amp; Acquisitions Lawyer Toronto</t>
  </si>
  <si>
    <t>Mark Macpherson</t>
  </si>
  <si>
    <t>90 Balsam Avenue</t>
  </si>
  <si>
    <t>Jeffrey Wellwood</t>
  </si>
  <si>
    <t>20 Crown Park Road</t>
  </si>
  <si>
    <t>Jennifer Balcerak</t>
  </si>
  <si>
    <t>118 Spruce Hill Road</t>
  </si>
  <si>
    <t>Laura Gage</t>
  </si>
  <si>
    <t>Wayne Summerville</t>
  </si>
  <si>
    <t>Eleanor Smith</t>
  </si>
  <si>
    <t>Workplace Safety and Insurance Appeals Tribunal</t>
  </si>
  <si>
    <t>104 Balsam Avenue, Toronto</t>
  </si>
  <si>
    <t>Jason Nobes</t>
  </si>
  <si>
    <t>55 Pine Crescent, Toronto</t>
  </si>
  <si>
    <t>Ryan Vincent</t>
  </si>
  <si>
    <t>275 Glen Manor Drive East</t>
  </si>
  <si>
    <t>Edwin Crain</t>
  </si>
  <si>
    <t>105 Balsam Avenue</t>
  </si>
  <si>
    <t>50 Pine Crescent, Toronto</t>
  </si>
  <si>
    <t>Melisse Willems</t>
  </si>
  <si>
    <t>Professional Association of Residents</t>
  </si>
  <si>
    <t>121 Balsam Avenue</t>
  </si>
  <si>
    <t>Deborah Farrington</t>
  </si>
  <si>
    <t>34 Pine Crescent</t>
  </si>
  <si>
    <t>Cindy Bush</t>
  </si>
  <si>
    <t>Chief Human Resources Officer</t>
  </si>
  <si>
    <t>TMX Group</t>
  </si>
  <si>
    <t>158 Maclean Avenue</t>
  </si>
  <si>
    <t>Thomas Merrall</t>
  </si>
  <si>
    <t>Head of Risk Model</t>
  </si>
  <si>
    <t>Ruhee Rajan</t>
  </si>
  <si>
    <t>95 Balsam Avenue</t>
  </si>
  <si>
    <t>Cindy Kurz</t>
  </si>
  <si>
    <t>109 Pine Glen Road</t>
  </si>
  <si>
    <t>Janet Maynard</t>
  </si>
  <si>
    <t>Jasmit Bhandal</t>
  </si>
  <si>
    <t>119 Balsam Avenue</t>
  </si>
  <si>
    <t>Michael Ackworth</t>
  </si>
  <si>
    <t>Daniel Desmarais</t>
  </si>
  <si>
    <t>Lead Hand</t>
  </si>
  <si>
    <t>CUI Inc</t>
  </si>
  <si>
    <t>Kenneth Luce</t>
  </si>
  <si>
    <t>269 Glen Manor Drive East</t>
  </si>
  <si>
    <t>106 Spruce Hill Road</t>
  </si>
  <si>
    <t>Sally Schofield</t>
  </si>
  <si>
    <t>Siobhann Wellwood</t>
  </si>
  <si>
    <t>National Account manager</t>
  </si>
  <si>
    <t>TC Media</t>
  </si>
  <si>
    <t>20 Crown Park Road, Toronto</t>
  </si>
  <si>
    <t>88 Balsam Avenue</t>
  </si>
  <si>
    <t>Julian Peterson</t>
  </si>
  <si>
    <t>Essay</t>
  </si>
  <si>
    <t>160 MacLean Avenue, Toronto</t>
  </si>
  <si>
    <t>Jonathan Baruchel</t>
  </si>
  <si>
    <t>29 Pine Crescent</t>
  </si>
  <si>
    <t>Erika Vowinckel</t>
  </si>
  <si>
    <t>Headwaters Health Care Centre</t>
  </si>
  <si>
    <t>12 Crown Park Road</t>
  </si>
  <si>
    <t>Norman Trainor</t>
  </si>
  <si>
    <t>Robyn Stremler</t>
  </si>
  <si>
    <t>155 Maclean Avenue</t>
  </si>
  <si>
    <t>259 Glen Manor Drive East</t>
  </si>
  <si>
    <t>Andrea Dayco</t>
  </si>
  <si>
    <t>15 Pine Crescent</t>
  </si>
  <si>
    <t>Richard Fowle</t>
  </si>
  <si>
    <t>Olivier Simon-Vermot</t>
  </si>
  <si>
    <t>113 Balsam Avenue</t>
  </si>
  <si>
    <t>134 Balsam Avenue</t>
  </si>
  <si>
    <t>James Nelson</t>
  </si>
  <si>
    <t>Trafalgar Engineering Ltd</t>
  </si>
  <si>
    <t>99 Balsam Avenue</t>
  </si>
  <si>
    <t>Beverly Murphy</t>
  </si>
  <si>
    <t>123 Pine Glen Road, Toronto</t>
  </si>
  <si>
    <t>Randy Scharfe</t>
  </si>
  <si>
    <t>20 Vic Management</t>
  </si>
  <si>
    <t>267 Glen Manor Drive East</t>
  </si>
  <si>
    <t>Jason Goncalves</t>
  </si>
  <si>
    <t>Denis Larose</t>
  </si>
  <si>
    <t>Chief Investment Officer</t>
  </si>
  <si>
    <t>Guardian Capital</t>
  </si>
  <si>
    <t>107 Pine Glen Road</t>
  </si>
  <si>
    <t>Charles Green</t>
  </si>
  <si>
    <t>Irfan Dhalla</t>
  </si>
  <si>
    <t>126 Balsam Avenue</t>
  </si>
  <si>
    <t>Jill Nelson</t>
  </si>
  <si>
    <t>Steven Agnew</t>
  </si>
  <si>
    <t>98 Balsam Avenue</t>
  </si>
  <si>
    <t>Jennifer Bermingham</t>
  </si>
  <si>
    <t>111 Balsam Avenue</t>
  </si>
  <si>
    <t>Director of International Expansion</t>
  </si>
  <si>
    <t>Knotion</t>
  </si>
  <si>
    <t>132 Balsam Avenue</t>
  </si>
  <si>
    <t>Brian Jones</t>
  </si>
  <si>
    <t>149 Maclean Avenue</t>
  </si>
  <si>
    <t>Benjamin Contini</t>
  </si>
  <si>
    <t>23 Pine Crescent, Toronto</t>
  </si>
  <si>
    <t>Ernest Toomath</t>
  </si>
  <si>
    <t>Prabook Toomath</t>
  </si>
  <si>
    <t>161 Maclean Avenue</t>
  </si>
  <si>
    <t>Sheila Baudisch</t>
  </si>
  <si>
    <t>Broker</t>
  </si>
  <si>
    <t>RE/MAX Hallmark First Group Realty Ltd</t>
  </si>
  <si>
    <t>106 Balsam Avenue</t>
  </si>
  <si>
    <t>156 Maclean Avenue</t>
  </si>
  <si>
    <t>Phillip Sanford</t>
  </si>
  <si>
    <t>TDSB</t>
  </si>
  <si>
    <t>130 Balsam Avenue, Toronto</t>
  </si>
  <si>
    <t>Oliver Carroll</t>
  </si>
  <si>
    <t>Cirriculum Leader</t>
  </si>
  <si>
    <t>94 Spruce Hill Road</t>
  </si>
  <si>
    <t>Konstantin Haehling Von Lanzenauer</t>
  </si>
  <si>
    <t>National Bank Financial</t>
  </si>
  <si>
    <t>Andrew Willis</t>
  </si>
  <si>
    <t>Business Columnist</t>
  </si>
  <si>
    <t>124 Balsam Avenue</t>
  </si>
  <si>
    <t>Steven Keyzer</t>
  </si>
  <si>
    <t>Peter Doulas</t>
  </si>
  <si>
    <t>Shereena Thavaratnam</t>
  </si>
  <si>
    <t>94 Pine Crescent, Toronto</t>
  </si>
  <si>
    <t>Michelle Peacock</t>
  </si>
  <si>
    <t>Gerard Waslen</t>
  </si>
  <si>
    <t>112 Balsam Avenue</t>
  </si>
  <si>
    <t>Kevin Edmonson</t>
  </si>
  <si>
    <t>47 Pine Crescent</t>
  </si>
  <si>
    <t>Infectious Disease Physician</t>
  </si>
  <si>
    <t>GFX Partners</t>
  </si>
  <si>
    <t>GFL Environmental Inc</t>
  </si>
  <si>
    <t>Bank of America</t>
  </si>
  <si>
    <t>Osler, Hoskin &amp; Harcourt LLP</t>
  </si>
  <si>
    <t>QuadReal</t>
  </si>
  <si>
    <t>Actor &amp; Filmmaker</t>
  </si>
  <si>
    <t>Various Films</t>
  </si>
  <si>
    <t>Realtor</t>
  </si>
  <si>
    <t>Colliers</t>
  </si>
  <si>
    <t>PWC</t>
  </si>
  <si>
    <t>Credit Suisse</t>
  </si>
  <si>
    <t>Argyle Capital Partners</t>
  </si>
  <si>
    <t>Vice President, Clinical Programs and Policy</t>
  </si>
  <si>
    <t>KeyOps</t>
  </si>
  <si>
    <t>Global Philanthropic Inc</t>
  </si>
  <si>
    <t>COO, Product Development SME</t>
  </si>
  <si>
    <t>CG Consulting</t>
  </si>
  <si>
    <t>Mastra</t>
  </si>
  <si>
    <t>Dayco Media Ltd</t>
  </si>
  <si>
    <t>Kingstar</t>
  </si>
  <si>
    <t>Senior Product Owner</t>
  </si>
  <si>
    <t>OTTP</t>
  </si>
  <si>
    <t>Viva Marketing</t>
  </si>
  <si>
    <t>Program Manager, Stregic &amp; PMO</t>
  </si>
  <si>
    <t>Lulu Lemon</t>
  </si>
  <si>
    <t>Lawrence Bloomberg Faculty of Nursing, UofT</t>
  </si>
  <si>
    <t>Tario Ventures</t>
  </si>
  <si>
    <t>Irwin Lowy LLP</t>
  </si>
  <si>
    <t>Mathews Dinsdale &amp; Clark LLP</t>
  </si>
  <si>
    <t>Mcarthy Tetrault</t>
  </si>
  <si>
    <t>Scotiabank</t>
  </si>
  <si>
    <t>Independent Financial Services Executive</t>
  </si>
  <si>
    <t>Tumber Ridge Golf Course</t>
  </si>
  <si>
    <t>AGES Consulting</t>
  </si>
  <si>
    <t>Etobicoke Vetrinary Hospital</t>
  </si>
  <si>
    <t>Former NFL Agent, Lawyer, Business Analyst</t>
  </si>
  <si>
    <t>Globe and Mail</t>
  </si>
  <si>
    <t>One Centre Dentistry</t>
  </si>
  <si>
    <t>Bookkeeping &amp; Office Management</t>
  </si>
  <si>
    <t>Murphy Partners Inc</t>
  </si>
  <si>
    <t>Seven Hills Capital</t>
  </si>
  <si>
    <t>Cardiac Surgeon</t>
  </si>
  <si>
    <t>H&amp;R Reit</t>
  </si>
  <si>
    <t>Senior Portfolio Manager</t>
  </si>
  <si>
    <t>Bosley</t>
  </si>
  <si>
    <t>Vice President, ETF Product Strategy</t>
  </si>
  <si>
    <t>TD</t>
  </si>
  <si>
    <t>Oriana Financial Group of Canada Ltd</t>
  </si>
  <si>
    <t>PagerDuty</t>
  </si>
  <si>
    <t>Head and Neck Surgery</t>
  </si>
  <si>
    <t>Account Manager</t>
  </si>
  <si>
    <t>RBC Ventures</t>
  </si>
  <si>
    <t>Avison Young</t>
  </si>
  <si>
    <t>Minimally Invasive Heart</t>
  </si>
  <si>
    <t>Family Physician</t>
  </si>
  <si>
    <t>Adobe</t>
  </si>
  <si>
    <t>Director of Development</t>
  </si>
  <si>
    <t>The Letter of Marque Investing</t>
  </si>
  <si>
    <t>Unity Health Toronto</t>
  </si>
  <si>
    <t>Family doctor</t>
  </si>
  <si>
    <t>Humber River Health</t>
  </si>
  <si>
    <t>Brookfield Properties Development</t>
  </si>
  <si>
    <t>Evans Law Firm</t>
  </si>
  <si>
    <t>Opthalmologist</t>
  </si>
  <si>
    <t>Bell</t>
  </si>
  <si>
    <t>iA Financial Group</t>
  </si>
  <si>
    <t>Director, Private Equity</t>
  </si>
  <si>
    <t>OMERS</t>
  </si>
  <si>
    <t>Automated Solutions &amp; Products Inc</t>
  </si>
  <si>
    <t>Investment Advisor</t>
  </si>
  <si>
    <t>Psychiatrist</t>
  </si>
  <si>
    <t>Dentistry on Bay</t>
  </si>
  <si>
    <t>IATSE</t>
  </si>
  <si>
    <t>Professor of Anesthesia</t>
  </si>
  <si>
    <t>IFM Investors</t>
  </si>
  <si>
    <t>TD Securities</t>
  </si>
  <si>
    <t>CBRE Canada</t>
  </si>
  <si>
    <t>Senior Wealth Advisor</t>
  </si>
  <si>
    <t>Toronto East General Hospital</t>
  </si>
  <si>
    <t>Mijem Newcomm Tech</t>
  </si>
  <si>
    <t>TV Host</t>
  </si>
  <si>
    <t>Much Music</t>
  </si>
  <si>
    <t>Fine Art &amp; Client Relations Specialist</t>
  </si>
  <si>
    <t>Neurosurgeon</t>
  </si>
  <si>
    <t>Accenture</t>
  </si>
  <si>
    <t>Senior Manager, internal audit</t>
  </si>
  <si>
    <t>Obstetrician</t>
  </si>
  <si>
    <t>St Micheals Hospital</t>
  </si>
  <si>
    <t>Director, Strategy &amp; Product Acceleration</t>
  </si>
  <si>
    <t>Director, AI Leadership</t>
  </si>
  <si>
    <t>Open Farm Pet</t>
  </si>
  <si>
    <t>AMA</t>
  </si>
  <si>
    <t>Medical Oncologist</t>
  </si>
  <si>
    <t>KSV Advisory</t>
  </si>
  <si>
    <t>Multimedia Artist</t>
  </si>
  <si>
    <t>Fidelity</t>
  </si>
  <si>
    <t>Director - Neck Surgery</t>
  </si>
  <si>
    <t>St Paul Hospital</t>
  </si>
  <si>
    <t>BNI Wealth</t>
  </si>
  <si>
    <t>Dean</t>
  </si>
  <si>
    <t>Custom Products Manager</t>
  </si>
  <si>
    <t>Fractional CMO</t>
  </si>
  <si>
    <t>Pediatric Neurologist</t>
  </si>
  <si>
    <t>FX Trader</t>
  </si>
  <si>
    <t>Psychiatry</t>
  </si>
  <si>
    <t>North York General Hospital</t>
  </si>
  <si>
    <t>AVP</t>
  </si>
  <si>
    <t>Torys LLP</t>
  </si>
  <si>
    <t>Government of Ontario</t>
  </si>
  <si>
    <t>Radio Host</t>
  </si>
  <si>
    <t>Senior Program Advisor</t>
  </si>
  <si>
    <t>Bell Media</t>
  </si>
  <si>
    <t>Clinic Manager</t>
  </si>
  <si>
    <t>Summerville &amp; Riley</t>
  </si>
  <si>
    <t>President, Chief Investment Officer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</si>
</sst>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yyyy\-mm\-dd"/>
  </numFmts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theme="0" tint="-4.9989318521683403E-2"/>
        <bgColor rgb="FFF0EE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5F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5" fillId="0" borderId="0" applyFont="0" applyFill="0" applyBorder="0" applyAlignment="0" applyProtection="0"/>
  </cellStyleXfs>
  <cellXfs count="3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" fontId="3" fillId="4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5" fontId="3" fillId="4" borderId="0" xfId="0" applyNumberFormat="1" applyFont="1" applyFill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vertical="center"/>
    </xf>
    <xf numFmtId="2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3" fillId="3" borderId="0" xfId="2" applyFont="1" applyFill="1" applyAlignment="1">
      <alignment horizontal="center" vertical="center"/>
    </xf>
    <xf numFmtId="44" fontId="4" fillId="4" borderId="0" xfId="2" applyFont="1" applyFill="1" applyAlignment="1">
      <alignment horizontal="center" vertical="center"/>
    </xf>
    <xf numFmtId="44" fontId="3" fillId="4" borderId="0" xfId="2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4" fontId="3" fillId="6" borderId="0" xfId="2" applyFont="1" applyFill="1" applyAlignment="1">
      <alignment horizontal="center" vertical="center"/>
    </xf>
    <xf numFmtId="44" fontId="4" fillId="6" borderId="0" xfId="2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4" borderId="0" xfId="0" applyFont="1" applyFill="1" applyAlignment="1">
      <alignment vertical="center"/>
    </xf>
    <xf numFmtId="165" fontId="6" fillId="4" borderId="0" xfId="0" applyNumberFormat="1" applyFont="1" applyFill="1" applyAlignment="1">
      <alignment horizontal="center" vertical="center"/>
    </xf>
    <xf numFmtId="2" fontId="6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165" fontId="4" fillId="4" borderId="0" xfId="0" applyNumberFormat="1" applyFont="1" applyFill="1" applyAlignment="1">
      <alignment horizontal="center" vertical="center"/>
    </xf>
    <xf numFmtId="165" fontId="3" fillId="3" borderId="0" xfId="0" applyNumberFormat="1" applyFont="1" applyFill="1" applyAlignment="1">
      <alignment horizontal="center" vertical="center"/>
    </xf>
    <xf numFmtId="165" fontId="3" fillId="6" borderId="0" xfId="0" applyNumberFormat="1" applyFont="1" applyFill="1" applyAlignment="1">
      <alignment horizontal="center" vertical="center"/>
    </xf>
  </cellXfs>
  <cellStyles count="3">
    <cellStyle name="Currency" xfId="2" builtinId="4"/>
    <cellStyle name="Normal" xfId="0" builtinId="0"/>
    <cellStyle name="Normal 2" xfId="1" xr:uid="{E998C49F-3897-4435-A5C9-619BB5D47BF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EE8"/>
      <rgbColor rgb="FFEEF3F4"/>
      <rgbColor rgb="FF660066"/>
      <rgbColor rgb="FFFF8080"/>
      <rgbColor rgb="FF0066CC"/>
      <rgbColor rgb="FFC9E5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FD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7504CC8-C504-4183-BF49-9D513A265807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672bd2e9-a850-400e-822a-d8d662fee24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0C35439-A933-40A8-BA03-EFDC41AF8989}">
  <we:reference id="8f2a6c14-9b3d-4e57-bc21-7d0f5a1e9c40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E4E5-A64C-49E6-8DAD-74BEA63F0744}">
  <dimension ref="A1:M486"/>
  <sheetViews>
    <sheetView showGridLines="0" tabSelected="1" zoomScaleNormal="100" workbookViewId="0">
      <pane ySplit="1" topLeftCell="A2" activePane="bottomLeft" state="frozen"/>
      <selection pane="bottomLeft" activeCell="D8" sqref="D8"/>
    </sheetView>
  </sheetViews>
  <sheetFormatPr defaultColWidth="8.6640625" defaultRowHeight="14.4" x14ac:dyDescent="0.3"/>
  <cols>
    <col min="1" max="1" width="31.44140625" bestFit="1" customWidth="1"/>
    <col min="2" max="2" width="43.44140625" bestFit="1" customWidth="1"/>
    <col min="3" max="3" width="49.6640625" customWidth="1"/>
    <col min="4" max="4" width="33.88671875" bestFit="1" customWidth="1"/>
    <col min="5" max="5" width="14.5546875" style="19" bestFit="1" customWidth="1"/>
    <col min="6" max="6" width="14" style="19" bestFit="1" customWidth="1"/>
    <col min="7" max="7" width="24.77734375" style="2" bestFit="1" customWidth="1"/>
    <col min="8" max="8" width="20.33203125" customWidth="1"/>
    <col min="9" max="9" width="22.21875" customWidth="1"/>
    <col min="10" max="10" width="14.77734375" customWidth="1"/>
    <col min="11" max="11" width="24.109375" customWidth="1"/>
    <col min="12" max="12" width="44.44140625" customWidth="1"/>
    <col min="13" max="13" width="42.6640625" bestFit="1" customWidth="1"/>
  </cols>
  <sheetData>
    <row r="1" spans="1:11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2" t="s">
        <v>4</v>
      </c>
      <c r="F1" s="22" t="s">
        <v>5</v>
      </c>
      <c r="G1" s="1" t="s">
        <v>305</v>
      </c>
      <c r="H1" s="8" t="s">
        <v>1045</v>
      </c>
      <c r="I1" s="8" t="s">
        <v>1046</v>
      </c>
      <c r="J1" s="8" t="s">
        <v>1047</v>
      </c>
      <c r="K1" s="8" t="s">
        <v>1048</v>
      </c>
    </row>
    <row r="2" spans="1:11" ht="14.4" customHeight="1" x14ac:dyDescent="0.3">
      <c r="A2" s="7" t="s">
        <v>208</v>
      </c>
      <c r="B2" s="7" t="s">
        <v>209</v>
      </c>
      <c r="C2" s="7" t="s">
        <v>210</v>
      </c>
      <c r="D2" s="7" t="s">
        <v>211</v>
      </c>
      <c r="E2" s="16">
        <v>1688000</v>
      </c>
      <c r="F2" s="34">
        <v>45902</v>
      </c>
      <c r="G2" s="3">
        <v>4.6879999999999997</v>
      </c>
      <c r="H2" s="9">
        <v>96</v>
      </c>
      <c r="I2" s="10" t="s">
        <v>1049</v>
      </c>
      <c r="J2" s="10" t="s">
        <v>1053</v>
      </c>
      <c r="K2" s="10" t="s">
        <v>1062</v>
      </c>
    </row>
    <row r="3" spans="1:11" x14ac:dyDescent="0.3">
      <c r="A3" s="4" t="s">
        <v>1260</v>
      </c>
      <c r="B3" s="4" t="s">
        <v>209</v>
      </c>
      <c r="C3" s="4" t="s">
        <v>1261</v>
      </c>
      <c r="D3" s="4" t="s">
        <v>1262</v>
      </c>
      <c r="E3" s="18">
        <v>1828000</v>
      </c>
      <c r="F3" s="5">
        <v>36405</v>
      </c>
      <c r="G3" s="6">
        <v>5.79</v>
      </c>
      <c r="H3" s="9">
        <v>96</v>
      </c>
      <c r="I3" s="10" t="s">
        <v>1049</v>
      </c>
      <c r="J3" s="10" t="s">
        <v>1053</v>
      </c>
      <c r="K3" s="10" t="s">
        <v>1059</v>
      </c>
    </row>
    <row r="4" spans="1:11" x14ac:dyDescent="0.3">
      <c r="A4" s="11" t="s">
        <v>755</v>
      </c>
      <c r="B4" s="11" t="s">
        <v>409</v>
      </c>
      <c r="C4" s="11" t="s">
        <v>756</v>
      </c>
      <c r="D4" s="11" t="s">
        <v>757</v>
      </c>
      <c r="E4" s="17">
        <v>1965000</v>
      </c>
      <c r="F4" s="33">
        <v>41974</v>
      </c>
      <c r="G4" s="12">
        <v>3.95</v>
      </c>
      <c r="H4" s="9">
        <v>96</v>
      </c>
      <c r="I4" s="10" t="s">
        <v>1049</v>
      </c>
      <c r="J4" s="10" t="s">
        <v>1053</v>
      </c>
      <c r="K4" s="10" t="s">
        <v>1062</v>
      </c>
    </row>
    <row r="5" spans="1:11" x14ac:dyDescent="0.3">
      <c r="A5" s="4" t="s">
        <v>1150</v>
      </c>
      <c r="B5" s="4" t="s">
        <v>409</v>
      </c>
      <c r="C5" s="4" t="s">
        <v>1151</v>
      </c>
      <c r="D5" s="4" t="s">
        <v>1152</v>
      </c>
      <c r="E5" s="18">
        <v>2295000</v>
      </c>
      <c r="F5" s="5">
        <v>43784</v>
      </c>
      <c r="G5" s="6">
        <v>3.45</v>
      </c>
      <c r="H5" s="9">
        <v>96</v>
      </c>
      <c r="I5" s="10" t="s">
        <v>1049</v>
      </c>
      <c r="J5" s="10" t="s">
        <v>1053</v>
      </c>
      <c r="K5" s="10" t="s">
        <v>1051</v>
      </c>
    </row>
    <row r="6" spans="1:11" x14ac:dyDescent="0.3">
      <c r="A6" s="4" t="s">
        <v>686</v>
      </c>
      <c r="B6" s="4" t="s">
        <v>209</v>
      </c>
      <c r="C6" s="4" t="s">
        <v>687</v>
      </c>
      <c r="D6" s="4" t="s">
        <v>688</v>
      </c>
      <c r="E6" s="18">
        <v>2338500</v>
      </c>
      <c r="F6" s="5">
        <v>44161</v>
      </c>
      <c r="G6" s="6">
        <v>4.13</v>
      </c>
      <c r="H6" s="9">
        <v>96</v>
      </c>
      <c r="I6" s="10" t="s">
        <v>1049</v>
      </c>
      <c r="J6" s="10" t="s">
        <v>1053</v>
      </c>
      <c r="K6" s="10" t="s">
        <v>1062</v>
      </c>
    </row>
    <row r="7" spans="1:11" x14ac:dyDescent="0.3">
      <c r="A7" s="4" t="s">
        <v>627</v>
      </c>
      <c r="B7" s="4" t="s">
        <v>628</v>
      </c>
      <c r="C7" s="4" t="s">
        <v>629</v>
      </c>
      <c r="D7" s="4" t="s">
        <v>630</v>
      </c>
      <c r="E7" s="18">
        <v>2525000</v>
      </c>
      <c r="F7" s="5">
        <v>46149</v>
      </c>
      <c r="G7" s="6">
        <v>3.75</v>
      </c>
      <c r="H7" s="9">
        <v>96</v>
      </c>
      <c r="I7" s="10" t="s">
        <v>1049</v>
      </c>
      <c r="J7" s="10" t="s">
        <v>1053</v>
      </c>
      <c r="K7" s="10" t="s">
        <v>1051</v>
      </c>
    </row>
    <row r="8" spans="1:11" x14ac:dyDescent="0.3">
      <c r="A8" s="27" t="s">
        <v>1372</v>
      </c>
      <c r="B8" s="27" t="s">
        <v>209</v>
      </c>
      <c r="C8" s="27" t="s">
        <v>1373</v>
      </c>
      <c r="D8" s="27" t="s">
        <v>1374</v>
      </c>
      <c r="E8" s="32">
        <v>3400000</v>
      </c>
      <c r="F8" s="28">
        <v>45656</v>
      </c>
      <c r="G8" s="29">
        <v>3.19</v>
      </c>
      <c r="H8" s="30" cm="1">
        <f t="array" ref="H8">_xlfn.IFS(I8="Founder / Owner",IF(ISNUMBER(SEARCH("owner",B8)),80,96),I8="C-Suite",IF(OR(ISNUMBER(SEARCH("ceo",B8)),ISNUMBER(SEARCH("chief executive",B8))),95,91),I8="Managing Director",86,I8="Partner",IF(OR(ISNUMBER(SEARCH("managing partner",B8)),ISNUMBER(SEARCH("general partner",B8))),88,85),I8="VP / Head",_xlfn.IFS(OR(ISNUMBER(SEARCH("vice president",B8)),ISNUMBER(SEARCH("executive vice",B8))),91,ISNUMBER(SEARCH("svp",B8)),77,TRUE,73),I8="Director",IF(ISNUMBER(SEARCH("principal",B8)),72,71),I8="Individual Contributor",32,OR(ISNUMBER(SEARCH("surgeon",B8)),ISNUMBER(SEARCH("physician",B8)),ISNUMBER(SEARCH("doctor",B8)),ISNUMBER(SEARCH("dentist",B8)),ISNUMBER(SEARCH("psychiat",B8)),ISNUMBER(SEARCH("oncolog",B8)),ISNUMBER(SEARCH("neurolog",B8)),ISNUMBER(SEARCH("patholog",B8)),ISNUMBER(SEARCH("medicine",B8)),ISNUMBER(SEARCH("obgyn",B8))),77,OR(ISNUMBER(SEARCH("portfolio manager",B8)),ISNUMBER(SEARCH("wealth advisor",B8))),81,OR(ISNUMBER(SEARCH("lawyer",B8)),ISNUMBER(SEARCH("attorney",B8))),68,ISNUMBER(SEARCH("counsel",B8)),66,ISNUMBER(SEARCH("professor",B8)),63,OR(ISNUMBER(SEARCH("engineer",B8)),ISNUMBER(SEARCH("consultant",B8))),62,ISNUMBER(SEARCH("senior manager",B8)),64,OR(ISNUMBER(SEARCH("realtor",B8)),ISNUMBER(SEARCH("broker",B8)),ISNUMBER(SEARCH("journalist",B8)),ISNUMBER(SEARCH("columnist",B8)),ISNUMBER(SEARCH("trader",B8)),ISNUMBER(SEARCH("actor",B8))),50,TRUE,60)</f>
        <v>96</v>
      </c>
      <c r="I8" s="31" t="str" cm="1">
        <f t="array" ref="I8">_xlfn.LET(_xlpm.p," "&amp;LOWER(SUBSTITUTE(SUBSTITUTE(SUBSTITUTE(B8,",","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8" s="31" t="str" cm="1">
        <f t="array" ref="J8">_xlfn.IFS(H8&gt;=90,"Very High",H8&gt;=80,"High",H8&gt;=56,"Medium",TRUE,"Low")</f>
        <v>Very High</v>
      </c>
      <c r="K8" s="31" t="str" cm="1">
        <f t="array" ref="K8">_xlfn.IFS(OR(ISNUMBER(SEARCH("hospital",C8)),ISNUMBER(SEARCH("health",C8)),ISNUMBER(SEARCH("medical",C8)),ISNUMBER(SEARCH("clinic",C8)),ISNUMBER(SEARCH("nursing",C8)),ISNUMBER(SEARCH("care cent",C8)),ISNUMBER(SEARCH("physician",B8)),ISNUMBER(SEARCH("doctor",B8)),ISNUMBER(SEARCH("dentist",B8)),ISNUMBER(SEARCH("surgeon",B8)),ISNUMBER(SEARCH("psychiat",B8)),ISNUMBER(SEARCH("medicine",B8))),"Healthcare",OR(ISNUMBER(SEARCH("llp",C8)),ISNUMBER(SEARCH("lawyer",B8)),ISNUMBER(SEARCH("attorney",B8)),ISNUMBER(SEARCH("legal",C8)),ISNUMBER(SEARCH("tetrault",C8)),ISNUMBER(SEARCH("morley",C8)),ISNUMBER(SEARCH("blg",C8)),ISNUMBER(SEARCH("lowy",C8)),ISNUMBER(SEARCH("riley",C8)),ISNUMBER(SEARCH("toomath",C8))),"Law",OR(ISNUMBER(SEARCH("reit",C8)),ISNUMBER(SEARCH("properties",C8)),ISNUMBER(SEARCH("realty",C8)),ISNUMBER(SEARCH("realtor",B8)),ISNUMBER(SEARCH("colliers",C8)),ISNUMBER(SEARCH("re/max",C8)),ISNUMBER(SEARCH("quadreal",C8)),ISNUMBER(SEARCH("vic management",C8))),"Real Estate",OR(ISNUMBER(SEARCH("deloitte",C8)),ISNUMBER(SEARCH("kpmg",C8)),ISNUMBER(SEARCH("pwc",C8)),ISNUMBER(SEARCH("consulting",C8)),ISNUMBER(SEARCH("consultant",B8)),ISNUMBER(SEARCH("advisory",C8)),ISNUMBER(SEARCH("philanthropic",C8)),ISNUMBER(SEARCH("argyle",C8)),ISNUMBER(SEARCH("quinn",C8))),"Consulting",OR(ISNUMBER(SEARCH("media",C8)),ISNUMBER(SEARCH("news",C8)),ISNUMBER(SEARCH("radio",C8)),ISNUMBER(SEARCH("film",C8)),ISNUMBER(SEARCH("journalist",B8)),ISNUMBER(SEARCH("columnist",B8)),ISNUMBER(SEARCH("globe",C8)),ISNUMBER(SEARCH("marketing",C8)),ISNUMBER(SEARCH("actor",B8))),"Media",OR(ISNUMBER(SEARCH("rbc",C8)),ISNUMBER(SEARCH("cibc",C8)),ISNUMBER(SEARCH("bmo",C8)),ISNUMBER(SEARCH("scotia",C8)),ISNUMBER(SEARCH("bank",C8)),ISNUMBER(SEARCH("capital",C8)),ISNUMBER(SEARCH("wealth",C8)),ISNUMBER(SEARCH("financial",C8)),ISNUMBER(SEARCH("securities",C8)),ISNUMBER(SEARCH("fidelity",C8)),ISNUMBER(SEARCH("guardian",C8)),ISNUMBER(SEARCH("wealthsimple",C8)),ISNUMBER(SEARCH("credit suisse",C8)),ISNUMBER(SEARCH("tmx",C8)),ISNUMBER(SEARCH("investors",C8)),ISNUMBER(SEARCH("trader",B8))),"Finance",OR(ISNUMBER(SEARCH("ventures",C8)),ISNUMBER(SEARCH("private equity",B8)),ISNUMBER(SEARCH("capital partners",C8))),"Private Equity / VC",OR(ISNUMBER(SEARCH("government",C8)),ISNUMBER(SEARCH("ministry",C8)),ISNUMBER(SEARCH("tribunal",C8)),ISNUMBER(SEARCH("tdsb",C8)),ISNUMBER(SEARCH("public service",C8))),"Government",OR(ISNUMBER(SEARCH("association",C8)),ISNUMBER(SEARCH("institute",C8)),ISNUMBER(SEARCH("foundation",C8))),"Nonprofit",OR(ISNUMBER(SEARCH("software",C8)),ISNUMBER(SEARCH("tech",C8)),ISNUMBER(SEARCH("systems",C8)),ISNUMBER(SEARCH("digital",C8)),ISNUMBER(SEARCH("engineering",C8)),ISNUMBER(SEARCH("solutions",C8))),"Technology",TRUE,"Other")</f>
        <v>Other</v>
      </c>
    </row>
    <row r="9" spans="1:11" x14ac:dyDescent="0.3">
      <c r="A9" s="4" t="s">
        <v>483</v>
      </c>
      <c r="B9" s="4" t="s">
        <v>484</v>
      </c>
      <c r="C9" s="4" t="s">
        <v>1071</v>
      </c>
      <c r="D9" s="4" t="s">
        <v>482</v>
      </c>
      <c r="E9" s="18">
        <v>3625000</v>
      </c>
      <c r="F9" s="5">
        <v>45254</v>
      </c>
      <c r="G9" s="6">
        <v>3.82</v>
      </c>
      <c r="H9" s="9">
        <v>96</v>
      </c>
      <c r="I9" s="10" t="s">
        <v>1049</v>
      </c>
      <c r="J9" s="10" t="s">
        <v>1053</v>
      </c>
      <c r="K9" s="10" t="s">
        <v>1064</v>
      </c>
    </row>
    <row r="10" spans="1:11" x14ac:dyDescent="0.3">
      <c r="A10" s="4" t="s">
        <v>1100</v>
      </c>
      <c r="B10" s="4" t="s">
        <v>1101</v>
      </c>
      <c r="C10" s="4" t="s">
        <v>1480</v>
      </c>
      <c r="D10" s="4" t="s">
        <v>1096</v>
      </c>
      <c r="E10" s="18">
        <v>3775000</v>
      </c>
      <c r="F10" s="5">
        <v>43735</v>
      </c>
      <c r="G10" s="6">
        <v>3.28</v>
      </c>
      <c r="H10" s="9">
        <v>96</v>
      </c>
      <c r="I10" s="10" t="s">
        <v>1049</v>
      </c>
      <c r="J10" s="10" t="s">
        <v>1053</v>
      </c>
      <c r="K10" s="10" t="s">
        <v>1065</v>
      </c>
    </row>
    <row r="11" spans="1:11" x14ac:dyDescent="0.3">
      <c r="A11" s="11" t="s">
        <v>439</v>
      </c>
      <c r="B11" s="11" t="s">
        <v>209</v>
      </c>
      <c r="C11" s="13" t="s">
        <v>440</v>
      </c>
      <c r="D11" s="13" t="s">
        <v>441</v>
      </c>
      <c r="E11" s="17">
        <v>3900000</v>
      </c>
      <c r="F11" s="33">
        <v>43829</v>
      </c>
      <c r="G11" s="14">
        <v>3.9</v>
      </c>
      <c r="H11" s="9">
        <v>96</v>
      </c>
      <c r="I11" s="10" t="s">
        <v>1049</v>
      </c>
      <c r="J11" s="10" t="s">
        <v>1053</v>
      </c>
      <c r="K11" s="10" t="s">
        <v>1051</v>
      </c>
    </row>
    <row r="12" spans="1:11" x14ac:dyDescent="0.3">
      <c r="A12" s="4" t="s">
        <v>418</v>
      </c>
      <c r="B12" s="4" t="s">
        <v>419</v>
      </c>
      <c r="C12" s="4" t="s">
        <v>1491</v>
      </c>
      <c r="D12" s="4" t="s">
        <v>420</v>
      </c>
      <c r="E12" s="16">
        <v>4250000</v>
      </c>
      <c r="F12" s="5">
        <v>43304</v>
      </c>
      <c r="G12" s="6">
        <v>3.84</v>
      </c>
      <c r="H12" s="9">
        <v>96</v>
      </c>
      <c r="I12" s="10" t="s">
        <v>1049</v>
      </c>
      <c r="J12" s="10" t="s">
        <v>1053</v>
      </c>
      <c r="K12" s="10" t="s">
        <v>1054</v>
      </c>
    </row>
    <row r="13" spans="1:11" x14ac:dyDescent="0.3">
      <c r="A13" s="7" t="s">
        <v>412</v>
      </c>
      <c r="B13" s="7" t="s">
        <v>413</v>
      </c>
      <c r="C13" s="7" t="s">
        <v>1072</v>
      </c>
      <c r="D13" s="7" t="s">
        <v>414</v>
      </c>
      <c r="E13" s="16">
        <v>4300000</v>
      </c>
      <c r="F13" s="34">
        <v>45841</v>
      </c>
      <c r="G13" s="3">
        <v>3.91</v>
      </c>
      <c r="H13" s="9">
        <v>96</v>
      </c>
      <c r="I13" s="10" t="s">
        <v>1049</v>
      </c>
      <c r="J13" s="10" t="s">
        <v>1053</v>
      </c>
      <c r="K13" s="10" t="s">
        <v>1065</v>
      </c>
    </row>
    <row r="14" spans="1:11" x14ac:dyDescent="0.3">
      <c r="A14" s="4" t="s">
        <v>415</v>
      </c>
      <c r="B14" s="4" t="s">
        <v>1075</v>
      </c>
      <c r="C14" s="4" t="s">
        <v>416</v>
      </c>
      <c r="D14" s="4" t="s">
        <v>417</v>
      </c>
      <c r="E14" s="16">
        <v>4300000</v>
      </c>
      <c r="F14" s="5">
        <v>40816</v>
      </c>
      <c r="G14" s="6">
        <v>4.09</v>
      </c>
      <c r="H14" s="9">
        <v>96</v>
      </c>
      <c r="I14" s="10" t="s">
        <v>1049</v>
      </c>
      <c r="J14" s="10" t="s">
        <v>1053</v>
      </c>
      <c r="K14" s="10" t="s">
        <v>1051</v>
      </c>
    </row>
    <row r="15" spans="1:11" x14ac:dyDescent="0.3">
      <c r="A15" s="11" t="s">
        <v>408</v>
      </c>
      <c r="B15" s="11" t="s">
        <v>409</v>
      </c>
      <c r="C15" s="11" t="s">
        <v>410</v>
      </c>
      <c r="D15" s="11" t="s">
        <v>411</v>
      </c>
      <c r="E15" s="17">
        <v>4400000</v>
      </c>
      <c r="F15" s="33">
        <v>45511</v>
      </c>
      <c r="G15" s="12">
        <v>3.81</v>
      </c>
      <c r="H15" s="9">
        <v>96</v>
      </c>
      <c r="I15" s="10" t="s">
        <v>1049</v>
      </c>
      <c r="J15" s="10" t="s">
        <v>1053</v>
      </c>
      <c r="K15" s="10" t="s">
        <v>1068</v>
      </c>
    </row>
    <row r="16" spans="1:11" x14ac:dyDescent="0.3">
      <c r="A16" s="4" t="s">
        <v>1246</v>
      </c>
      <c r="B16" s="4" t="s">
        <v>209</v>
      </c>
      <c r="C16" s="4" t="s">
        <v>1247</v>
      </c>
      <c r="D16" s="4" t="s">
        <v>1248</v>
      </c>
      <c r="E16" s="16">
        <v>9340000</v>
      </c>
      <c r="F16" s="5">
        <v>42209</v>
      </c>
      <c r="G16" s="6">
        <v>6.21</v>
      </c>
      <c r="H16" s="9">
        <v>96</v>
      </c>
      <c r="I16" s="10" t="s">
        <v>1049</v>
      </c>
      <c r="J16" s="10" t="s">
        <v>1053</v>
      </c>
      <c r="K16" s="10" t="s">
        <v>1064</v>
      </c>
    </row>
    <row r="17" spans="1:11" x14ac:dyDescent="0.3">
      <c r="A17" s="4" t="s">
        <v>1234</v>
      </c>
      <c r="B17" s="4" t="s">
        <v>209</v>
      </c>
      <c r="C17" s="4" t="s">
        <v>1235</v>
      </c>
      <c r="D17" s="4" t="s">
        <v>1236</v>
      </c>
      <c r="E17" s="16">
        <v>11100000</v>
      </c>
      <c r="F17" s="5">
        <v>42979</v>
      </c>
      <c r="G17" s="6">
        <v>6.2</v>
      </c>
      <c r="H17" s="9">
        <v>96</v>
      </c>
      <c r="I17" s="10" t="s">
        <v>1049</v>
      </c>
      <c r="J17" s="10" t="s">
        <v>1053</v>
      </c>
      <c r="K17" s="10" t="s">
        <v>1064</v>
      </c>
    </row>
    <row r="18" spans="1:11" x14ac:dyDescent="0.3">
      <c r="A18" s="4" t="s">
        <v>1263</v>
      </c>
      <c r="B18" s="4" t="s">
        <v>1264</v>
      </c>
      <c r="C18" s="4" t="s">
        <v>1265</v>
      </c>
      <c r="D18" s="4" t="s">
        <v>1266</v>
      </c>
      <c r="E18" s="20" t="s">
        <v>1280</v>
      </c>
      <c r="F18" s="5">
        <v>41263</v>
      </c>
      <c r="G18" s="6">
        <v>5.72</v>
      </c>
      <c r="H18" s="9">
        <v>96</v>
      </c>
      <c r="I18" s="10" t="s">
        <v>1049</v>
      </c>
      <c r="J18" s="10" t="s">
        <v>1053</v>
      </c>
      <c r="K18" s="10" t="s">
        <v>1059</v>
      </c>
    </row>
    <row r="19" spans="1:11" x14ac:dyDescent="0.3">
      <c r="A19" s="4" t="s">
        <v>264</v>
      </c>
      <c r="B19" s="4" t="s">
        <v>265</v>
      </c>
      <c r="C19" s="4" t="s">
        <v>266</v>
      </c>
      <c r="D19" s="4" t="s">
        <v>52</v>
      </c>
      <c r="E19" s="18">
        <v>253000</v>
      </c>
      <c r="F19" s="5">
        <v>34514</v>
      </c>
      <c r="G19" s="6">
        <v>4.8259999999999996</v>
      </c>
      <c r="H19" s="9">
        <v>95</v>
      </c>
      <c r="I19" s="10" t="s">
        <v>1052</v>
      </c>
      <c r="J19" s="10" t="s">
        <v>1053</v>
      </c>
      <c r="K19" s="10" t="s">
        <v>1066</v>
      </c>
    </row>
    <row r="20" spans="1:11" x14ac:dyDescent="0.3">
      <c r="A20" s="4" t="s">
        <v>937</v>
      </c>
      <c r="B20" s="4" t="s">
        <v>220</v>
      </c>
      <c r="C20" s="4" t="s">
        <v>938</v>
      </c>
      <c r="D20" s="4" t="s">
        <v>939</v>
      </c>
      <c r="E20" s="18">
        <v>1000000</v>
      </c>
      <c r="F20" s="5">
        <v>39650</v>
      </c>
      <c r="G20" s="6">
        <v>3.67</v>
      </c>
      <c r="H20" s="9">
        <v>95</v>
      </c>
      <c r="I20" s="10" t="s">
        <v>1052</v>
      </c>
      <c r="J20" s="10" t="s">
        <v>1053</v>
      </c>
      <c r="K20" s="10" t="s">
        <v>1051</v>
      </c>
    </row>
    <row r="21" spans="1:11" x14ac:dyDescent="0.3">
      <c r="A21" s="4" t="s">
        <v>880</v>
      </c>
      <c r="B21" s="4" t="s">
        <v>402</v>
      </c>
      <c r="C21" s="4" t="s">
        <v>1526</v>
      </c>
      <c r="D21" s="4" t="s">
        <v>879</v>
      </c>
      <c r="E21" s="18">
        <v>1365000</v>
      </c>
      <c r="F21" s="5">
        <v>39933</v>
      </c>
      <c r="G21" s="6">
        <v>3.97</v>
      </c>
      <c r="H21" s="9">
        <v>95</v>
      </c>
      <c r="I21" s="10" t="s">
        <v>1052</v>
      </c>
      <c r="J21" s="10" t="s">
        <v>1053</v>
      </c>
      <c r="K21" s="10" t="s">
        <v>1062</v>
      </c>
    </row>
    <row r="22" spans="1:11" x14ac:dyDescent="0.3">
      <c r="A22" s="27" t="s">
        <v>1338</v>
      </c>
      <c r="B22" s="27" t="s">
        <v>26</v>
      </c>
      <c r="C22" s="27" t="s">
        <v>1466</v>
      </c>
      <c r="D22" s="27" t="s">
        <v>1339</v>
      </c>
      <c r="E22" s="32">
        <v>1428750</v>
      </c>
      <c r="F22" s="28">
        <v>40192</v>
      </c>
      <c r="G22" s="29">
        <v>3.25</v>
      </c>
      <c r="H22" s="30" cm="1">
        <f t="array" ref="H22">_xlfn.IFS(I22="Founder / Owner",IF(ISNUMBER(SEARCH("owner",B22)),80,96),I22="C-Suite",IF(OR(ISNUMBER(SEARCH("ceo",B22)),ISNUMBER(SEARCH("chief executive",B22))),95,91),I22="Managing Director",86,I22="Partner",IF(OR(ISNUMBER(SEARCH("managing partner",B22)),ISNUMBER(SEARCH("general partner",B22))),88,85),I22="VP / Head",_xlfn.IFS(OR(ISNUMBER(SEARCH("vice president",B22)),ISNUMBER(SEARCH("executive vice",B22))),91,ISNUMBER(SEARCH("svp",B22)),77,TRUE,73),I22="Director",IF(ISNUMBER(SEARCH("principal",B22)),72,71),I22="Individual Contributor",32,OR(ISNUMBER(SEARCH("surgeon",B22)),ISNUMBER(SEARCH("physician",B22)),ISNUMBER(SEARCH("doctor",B22)),ISNUMBER(SEARCH("dentist",B22)),ISNUMBER(SEARCH("psychiat",B22)),ISNUMBER(SEARCH("oncolog",B22)),ISNUMBER(SEARCH("neurolog",B22)),ISNUMBER(SEARCH("patholog",B22)),ISNUMBER(SEARCH("medicine",B22)),ISNUMBER(SEARCH("obgyn",B22))),77,OR(ISNUMBER(SEARCH("portfolio manager",B22)),ISNUMBER(SEARCH("wealth advisor",B22))),81,OR(ISNUMBER(SEARCH("lawyer",B22)),ISNUMBER(SEARCH("attorney",B22))),68,ISNUMBER(SEARCH("counsel",B22)),66,ISNUMBER(SEARCH("professor",B22)),63,OR(ISNUMBER(SEARCH("engineer",B22)),ISNUMBER(SEARCH("consultant",B22))),62,ISNUMBER(SEARCH("senior manager",B22)),64,OR(ISNUMBER(SEARCH("realtor",B22)),ISNUMBER(SEARCH("broker",B22)),ISNUMBER(SEARCH("journalist",B22)),ISNUMBER(SEARCH("columnist",B22)),ISNUMBER(SEARCH("trader",B22)),ISNUMBER(SEARCH("actor",B22))),50,TRUE,60)</f>
        <v>95</v>
      </c>
      <c r="I22" s="31" t="str" cm="1">
        <f t="array" ref="I22">_xlfn.LET(_xlpm.p," "&amp;LOWER(SUBSTITUTE(SUBSTITUTE(SUBSTITUTE(B22,",","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22" s="31" t="str" cm="1">
        <f t="array" ref="J22">_xlfn.IFS(H22&gt;=90,"Very High",H22&gt;=80,"High",H22&gt;=56,"Medium",TRUE,"Low")</f>
        <v>Very High</v>
      </c>
      <c r="K22" s="31" t="str" cm="1">
        <f t="array" ref="K22">_xlfn.IFS(OR(ISNUMBER(SEARCH("hospital",C22)),ISNUMBER(SEARCH("health",C22)),ISNUMBER(SEARCH("medical",C22)),ISNUMBER(SEARCH("clinic",C22)),ISNUMBER(SEARCH("nursing",C22)),ISNUMBER(SEARCH("care cent",C22)),ISNUMBER(SEARCH("physician",B22)),ISNUMBER(SEARCH("doctor",B22)),ISNUMBER(SEARCH("dentist",B22)),ISNUMBER(SEARCH("surgeon",B22)),ISNUMBER(SEARCH("psychiat",B22)),ISNUMBER(SEARCH("medicine",B22))),"Healthcare",OR(ISNUMBER(SEARCH("llp",C22)),ISNUMBER(SEARCH("lawyer",B22)),ISNUMBER(SEARCH("attorney",B22)),ISNUMBER(SEARCH("legal",C22)),ISNUMBER(SEARCH("tetrault",C22)),ISNUMBER(SEARCH("morley",C22)),ISNUMBER(SEARCH("blg",C22)),ISNUMBER(SEARCH("lowy",C22)),ISNUMBER(SEARCH("riley",C22)),ISNUMBER(SEARCH("toomath",C22))),"Law",OR(ISNUMBER(SEARCH("reit",C22)),ISNUMBER(SEARCH("properties",C22)),ISNUMBER(SEARCH("realty",C22)),ISNUMBER(SEARCH("realtor",B22)),ISNUMBER(SEARCH("colliers",C22)),ISNUMBER(SEARCH("re/max",C22)),ISNUMBER(SEARCH("quadreal",C22)),ISNUMBER(SEARCH("vic management",C22))),"Real Estate",OR(ISNUMBER(SEARCH("deloitte",C22)),ISNUMBER(SEARCH("kpmg",C22)),ISNUMBER(SEARCH("pwc",C22)),ISNUMBER(SEARCH("consulting",C22)),ISNUMBER(SEARCH("consultant",B22)),ISNUMBER(SEARCH("advisory",C22)),ISNUMBER(SEARCH("philanthropic",C22)),ISNUMBER(SEARCH("argyle",C22)),ISNUMBER(SEARCH("quinn",C22))),"Consulting",OR(ISNUMBER(SEARCH("media",C22)),ISNUMBER(SEARCH("news",C22)),ISNUMBER(SEARCH("radio",C22)),ISNUMBER(SEARCH("film",C22)),ISNUMBER(SEARCH("journalist",B22)),ISNUMBER(SEARCH("columnist",B22)),ISNUMBER(SEARCH("globe",C22)),ISNUMBER(SEARCH("marketing",C22)),ISNUMBER(SEARCH("actor",B22))),"Media",OR(ISNUMBER(SEARCH("rbc",C22)),ISNUMBER(SEARCH("cibc",C22)),ISNUMBER(SEARCH("bmo",C22)),ISNUMBER(SEARCH("scotia",C22)),ISNUMBER(SEARCH("bank",C22)),ISNUMBER(SEARCH("capital",C22)),ISNUMBER(SEARCH("wealth",C22)),ISNUMBER(SEARCH("financial",C22)),ISNUMBER(SEARCH("securities",C22)),ISNUMBER(SEARCH("fidelity",C22)),ISNUMBER(SEARCH("guardian",C22)),ISNUMBER(SEARCH("wealthsimple",C22)),ISNUMBER(SEARCH("credit suisse",C22)),ISNUMBER(SEARCH("tmx",C22)),ISNUMBER(SEARCH("investors",C22)),ISNUMBER(SEARCH("trader",B22))),"Finance",OR(ISNUMBER(SEARCH("ventures",C22)),ISNUMBER(SEARCH("private equity",B22)),ISNUMBER(SEARCH("capital partners",C22))),"Private Equity / VC",OR(ISNUMBER(SEARCH("government",C22)),ISNUMBER(SEARCH("ministry",C22)),ISNUMBER(SEARCH("tribunal",C22)),ISNUMBER(SEARCH("tdsb",C22)),ISNUMBER(SEARCH("public service",C22))),"Government",OR(ISNUMBER(SEARCH("association",C22)),ISNUMBER(SEARCH("institute",C22)),ISNUMBER(SEARCH("foundation",C22))),"Nonprofit",OR(ISNUMBER(SEARCH("software",C22)),ISNUMBER(SEARCH("tech",C22)),ISNUMBER(SEARCH("systems",C22)),ISNUMBER(SEARCH("digital",C22)),ISNUMBER(SEARCH("engineering",C22)),ISNUMBER(SEARCH("solutions",C22))),"Technology",TRUE,"Other")</f>
        <v>Other</v>
      </c>
    </row>
    <row r="23" spans="1:11" x14ac:dyDescent="0.3">
      <c r="A23" s="27" t="s">
        <v>1341</v>
      </c>
      <c r="B23" s="27" t="s">
        <v>220</v>
      </c>
      <c r="C23" s="27" t="s">
        <v>1342</v>
      </c>
      <c r="D23" s="27" t="s">
        <v>1343</v>
      </c>
      <c r="E23" s="32">
        <v>1525000</v>
      </c>
      <c r="F23" s="28">
        <v>40777</v>
      </c>
      <c r="G23" s="29">
        <v>3.18</v>
      </c>
      <c r="H23" s="30" cm="1">
        <f t="array" ref="H23">_xlfn.IFS(I23="Founder / Owner",IF(ISNUMBER(SEARCH("owner",B23)),80,96),I23="C-Suite",IF(OR(ISNUMBER(SEARCH("ceo",B23)),ISNUMBER(SEARCH("chief executive",B23))),95,91),I23="Managing Director",86,I23="Partner",IF(OR(ISNUMBER(SEARCH("managing partner",B23)),ISNUMBER(SEARCH("general partner",B23))),88,85),I23="VP / Head",_xlfn.IFS(OR(ISNUMBER(SEARCH("vice president",B23)),ISNUMBER(SEARCH("executive vice",B23))),91,ISNUMBER(SEARCH("svp",B23)),77,TRUE,73),I23="Director",IF(ISNUMBER(SEARCH("principal",B23)),72,71),I23="Individual Contributor",32,OR(ISNUMBER(SEARCH("surgeon",B23)),ISNUMBER(SEARCH("physician",B23)),ISNUMBER(SEARCH("doctor",B23)),ISNUMBER(SEARCH("dentist",B23)),ISNUMBER(SEARCH("psychiat",B23)),ISNUMBER(SEARCH("oncolog",B23)),ISNUMBER(SEARCH("neurolog",B23)),ISNUMBER(SEARCH("patholog",B23)),ISNUMBER(SEARCH("medicine",B23)),ISNUMBER(SEARCH("obgyn",B23))),77,OR(ISNUMBER(SEARCH("portfolio manager",B23)),ISNUMBER(SEARCH("wealth advisor",B23))),81,OR(ISNUMBER(SEARCH("lawyer",B23)),ISNUMBER(SEARCH("attorney",B23))),68,ISNUMBER(SEARCH("counsel",B23)),66,ISNUMBER(SEARCH("professor",B23)),63,OR(ISNUMBER(SEARCH("engineer",B23)),ISNUMBER(SEARCH("consultant",B23))),62,ISNUMBER(SEARCH("senior manager",B23)),64,OR(ISNUMBER(SEARCH("realtor",B23)),ISNUMBER(SEARCH("broker",B23)),ISNUMBER(SEARCH("journalist",B23)),ISNUMBER(SEARCH("columnist",B23)),ISNUMBER(SEARCH("trader",B23)),ISNUMBER(SEARCH("actor",B23))),50,TRUE,60)</f>
        <v>95</v>
      </c>
      <c r="I23" s="31" t="str" cm="1">
        <f t="array" ref="I23">_xlfn.LET(_xlpm.p," "&amp;LOWER(SUBSTITUTE(SUBSTITUTE(SUBSTITUTE(B23,",","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23" s="31" t="str" cm="1">
        <f t="array" ref="J23">_xlfn.IFS(H23&gt;=90,"Very High",H23&gt;=80,"High",H23&gt;=56,"Medium",TRUE,"Low")</f>
        <v>Very High</v>
      </c>
      <c r="K23" s="31" t="str" cm="1">
        <f t="array" ref="K23">_xlfn.IFS(OR(ISNUMBER(SEARCH("hospital",C23)),ISNUMBER(SEARCH("health",C23)),ISNUMBER(SEARCH("medical",C23)),ISNUMBER(SEARCH("clinic",C23)),ISNUMBER(SEARCH("nursing",C23)),ISNUMBER(SEARCH("care cent",C23)),ISNUMBER(SEARCH("physician",B23)),ISNUMBER(SEARCH("doctor",B23)),ISNUMBER(SEARCH("dentist",B23)),ISNUMBER(SEARCH("surgeon",B23)),ISNUMBER(SEARCH("psychiat",B23)),ISNUMBER(SEARCH("medicine",B23))),"Healthcare",OR(ISNUMBER(SEARCH("llp",C23)),ISNUMBER(SEARCH("lawyer",B23)),ISNUMBER(SEARCH("attorney",B23)),ISNUMBER(SEARCH("legal",C23)),ISNUMBER(SEARCH("tetrault",C23)),ISNUMBER(SEARCH("morley",C23)),ISNUMBER(SEARCH("blg",C23)),ISNUMBER(SEARCH("lowy",C23)),ISNUMBER(SEARCH("riley",C23)),ISNUMBER(SEARCH("toomath",C23))),"Law",OR(ISNUMBER(SEARCH("reit",C23)),ISNUMBER(SEARCH("properties",C23)),ISNUMBER(SEARCH("realty",C23)),ISNUMBER(SEARCH("realtor",B23)),ISNUMBER(SEARCH("colliers",C23)),ISNUMBER(SEARCH("re/max",C23)),ISNUMBER(SEARCH("quadreal",C23)),ISNUMBER(SEARCH("vic management",C23))),"Real Estate",OR(ISNUMBER(SEARCH("deloitte",C23)),ISNUMBER(SEARCH("kpmg",C23)),ISNUMBER(SEARCH("pwc",C23)),ISNUMBER(SEARCH("consulting",C23)),ISNUMBER(SEARCH("consultant",B23)),ISNUMBER(SEARCH("advisory",C23)),ISNUMBER(SEARCH("philanthropic",C23)),ISNUMBER(SEARCH("argyle",C23)),ISNUMBER(SEARCH("quinn",C23))),"Consulting",OR(ISNUMBER(SEARCH("media",C23)),ISNUMBER(SEARCH("news",C23)),ISNUMBER(SEARCH("radio",C23)),ISNUMBER(SEARCH("film",C23)),ISNUMBER(SEARCH("journalist",B23)),ISNUMBER(SEARCH("columnist",B23)),ISNUMBER(SEARCH("globe",C23)),ISNUMBER(SEARCH("marketing",C23)),ISNUMBER(SEARCH("actor",B23))),"Media",OR(ISNUMBER(SEARCH("rbc",C23)),ISNUMBER(SEARCH("cibc",C23)),ISNUMBER(SEARCH("bmo",C23)),ISNUMBER(SEARCH("scotia",C23)),ISNUMBER(SEARCH("bank",C23)),ISNUMBER(SEARCH("capital",C23)),ISNUMBER(SEARCH("wealth",C23)),ISNUMBER(SEARCH("financial",C23)),ISNUMBER(SEARCH("securities",C23)),ISNUMBER(SEARCH("fidelity",C23)),ISNUMBER(SEARCH("guardian",C23)),ISNUMBER(SEARCH("wealthsimple",C23)),ISNUMBER(SEARCH("credit suisse",C23)),ISNUMBER(SEARCH("tmx",C23)),ISNUMBER(SEARCH("investors",C23)),ISNUMBER(SEARCH("trader",B23))),"Finance",OR(ISNUMBER(SEARCH("ventures",C23)),ISNUMBER(SEARCH("private equity",B23)),ISNUMBER(SEARCH("capital partners",C23))),"Private Equity / VC",OR(ISNUMBER(SEARCH("government",C23)),ISNUMBER(SEARCH("ministry",C23)),ISNUMBER(SEARCH("tribunal",C23)),ISNUMBER(SEARCH("tdsb",C23)),ISNUMBER(SEARCH("public service",C23))),"Government",OR(ISNUMBER(SEARCH("association",C23)),ISNUMBER(SEARCH("institute",C23)),ISNUMBER(SEARCH("foundation",C23))),"Nonprofit",OR(ISNUMBER(SEARCH("software",C23)),ISNUMBER(SEARCH("tech",C23)),ISNUMBER(SEARCH("systems",C23)),ISNUMBER(SEARCH("digital",C23)),ISNUMBER(SEARCH("engineering",C23)),ISNUMBER(SEARCH("solutions",C23))),"Technology",TRUE,"Other")</f>
        <v>Nonprofit</v>
      </c>
    </row>
    <row r="24" spans="1:11" x14ac:dyDescent="0.3">
      <c r="A24" s="7" t="s">
        <v>857</v>
      </c>
      <c r="B24" s="7" t="s">
        <v>265</v>
      </c>
      <c r="C24" s="7" t="s">
        <v>858</v>
      </c>
      <c r="D24" s="7" t="s">
        <v>859</v>
      </c>
      <c r="E24" s="16">
        <v>1555000</v>
      </c>
      <c r="F24" s="34">
        <v>42909</v>
      </c>
      <c r="G24" s="3">
        <v>4.18</v>
      </c>
      <c r="H24" s="9">
        <v>95</v>
      </c>
      <c r="I24" s="10" t="s">
        <v>1052</v>
      </c>
      <c r="J24" s="10" t="s">
        <v>1053</v>
      </c>
      <c r="K24" s="10" t="s">
        <v>1051</v>
      </c>
    </row>
    <row r="25" spans="1:11" x14ac:dyDescent="0.3">
      <c r="A25" s="27" t="s">
        <v>1438</v>
      </c>
      <c r="B25" s="27" t="s">
        <v>220</v>
      </c>
      <c r="C25" s="27" t="s">
        <v>1460</v>
      </c>
      <c r="D25" s="27" t="s">
        <v>1415</v>
      </c>
      <c r="E25" s="32">
        <v>1865000</v>
      </c>
      <c r="F25" s="28">
        <v>42384</v>
      </c>
      <c r="G25" s="29">
        <v>3.26</v>
      </c>
      <c r="H25" s="30" cm="1">
        <f t="array" ref="H25">_xlfn.IFS(I25="Founder / Owner",IF(ISNUMBER(SEARCH("owner",B25)),80,96),I25="C-Suite",IF(OR(ISNUMBER(SEARCH("ceo",B25)),ISNUMBER(SEARCH("chief executive",B25))),95,91),I25="Managing Director",86,I25="Partner",IF(OR(ISNUMBER(SEARCH("managing partner",B25)),ISNUMBER(SEARCH("general partner",B25))),88,85),I25="VP / Head",_xlfn.IFS(OR(ISNUMBER(SEARCH("vice president",B25)),ISNUMBER(SEARCH("executive vice",B25))),91,ISNUMBER(SEARCH("svp",B25)),77,TRUE,73),I25="Director",IF(ISNUMBER(SEARCH("principal",B25)),72,71),I25="Individual Contributor",32,OR(ISNUMBER(SEARCH("surgeon",B25)),ISNUMBER(SEARCH("physician",B25)),ISNUMBER(SEARCH("doctor",B25)),ISNUMBER(SEARCH("dentist",B25)),ISNUMBER(SEARCH("psychiat",B25)),ISNUMBER(SEARCH("oncolog",B25)),ISNUMBER(SEARCH("neurolog",B25)),ISNUMBER(SEARCH("patholog",B25)),ISNUMBER(SEARCH("medicine",B25)),ISNUMBER(SEARCH("obgyn",B25))),77,OR(ISNUMBER(SEARCH("portfolio manager",B25)),ISNUMBER(SEARCH("wealth advisor",B25))),81,OR(ISNUMBER(SEARCH("lawyer",B25)),ISNUMBER(SEARCH("attorney",B25))),68,ISNUMBER(SEARCH("counsel",B25)),66,ISNUMBER(SEARCH("professor",B25)),63,OR(ISNUMBER(SEARCH("engineer",B25)),ISNUMBER(SEARCH("consultant",B25))),62,ISNUMBER(SEARCH("senior manager",B25)),64,OR(ISNUMBER(SEARCH("realtor",B25)),ISNUMBER(SEARCH("broker",B25)),ISNUMBER(SEARCH("journalist",B25)),ISNUMBER(SEARCH("columnist",B25)),ISNUMBER(SEARCH("trader",B25)),ISNUMBER(SEARCH("actor",B25))),50,TRUE,60)</f>
        <v>95</v>
      </c>
      <c r="I25" s="31" t="str" cm="1">
        <f t="array" ref="I25">_xlfn.LET(_xlpm.p," "&amp;LOWER(SUBSTITUTE(SUBSTITUTE(SUBSTITUTE(B25,",","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25" s="31" t="str" cm="1">
        <f t="array" ref="J25">_xlfn.IFS(H25&gt;=90,"Very High",H25&gt;=80,"High",H25&gt;=56,"Medium",TRUE,"Low")</f>
        <v>Very High</v>
      </c>
      <c r="K25" s="31" t="str" cm="1">
        <f t="array" ref="K25">_xlfn.IFS(OR(ISNUMBER(SEARCH("hospital",C25)),ISNUMBER(SEARCH("health",C25)),ISNUMBER(SEARCH("medical",C25)),ISNUMBER(SEARCH("clinic",C25)),ISNUMBER(SEARCH("nursing",C25)),ISNUMBER(SEARCH("care cent",C25)),ISNUMBER(SEARCH("physician",B25)),ISNUMBER(SEARCH("doctor",B25)),ISNUMBER(SEARCH("dentist",B25)),ISNUMBER(SEARCH("surgeon",B25)),ISNUMBER(SEARCH("psychiat",B25)),ISNUMBER(SEARCH("medicine",B25))),"Healthcare",OR(ISNUMBER(SEARCH("llp",C25)),ISNUMBER(SEARCH("lawyer",B25)),ISNUMBER(SEARCH("attorney",B25)),ISNUMBER(SEARCH("legal",C25)),ISNUMBER(SEARCH("tetrault",C25)),ISNUMBER(SEARCH("morley",C25)),ISNUMBER(SEARCH("blg",C25)),ISNUMBER(SEARCH("lowy",C25)),ISNUMBER(SEARCH("riley",C25)),ISNUMBER(SEARCH("toomath",C25))),"Law",OR(ISNUMBER(SEARCH("reit",C25)),ISNUMBER(SEARCH("properties",C25)),ISNUMBER(SEARCH("realty",C25)),ISNUMBER(SEARCH("realtor",B25)),ISNUMBER(SEARCH("colliers",C25)),ISNUMBER(SEARCH("re/max",C25)),ISNUMBER(SEARCH("quadreal",C25)),ISNUMBER(SEARCH("vic management",C25))),"Real Estate",OR(ISNUMBER(SEARCH("deloitte",C25)),ISNUMBER(SEARCH("kpmg",C25)),ISNUMBER(SEARCH("pwc",C25)),ISNUMBER(SEARCH("consulting",C25)),ISNUMBER(SEARCH("consultant",B25)),ISNUMBER(SEARCH("advisory",C25)),ISNUMBER(SEARCH("philanthropic",C25)),ISNUMBER(SEARCH("argyle",C25)),ISNUMBER(SEARCH("quinn",C25))),"Consulting",OR(ISNUMBER(SEARCH("media",C25)),ISNUMBER(SEARCH("news",C25)),ISNUMBER(SEARCH("radio",C25)),ISNUMBER(SEARCH("film",C25)),ISNUMBER(SEARCH("journalist",B25)),ISNUMBER(SEARCH("columnist",B25)),ISNUMBER(SEARCH("globe",C25)),ISNUMBER(SEARCH("marketing",C25)),ISNUMBER(SEARCH("actor",B25))),"Media",OR(ISNUMBER(SEARCH("rbc",C25)),ISNUMBER(SEARCH("cibc",C25)),ISNUMBER(SEARCH("bmo",C25)),ISNUMBER(SEARCH("scotia",C25)),ISNUMBER(SEARCH("bank",C25)),ISNUMBER(SEARCH("capital",C25)),ISNUMBER(SEARCH("wealth",C25)),ISNUMBER(SEARCH("financial",C25)),ISNUMBER(SEARCH("securities",C25)),ISNUMBER(SEARCH("fidelity",C25)),ISNUMBER(SEARCH("guardian",C25)),ISNUMBER(SEARCH("wealthsimple",C25)),ISNUMBER(SEARCH("credit suisse",C25)),ISNUMBER(SEARCH("tmx",C25)),ISNUMBER(SEARCH("investors",C25)),ISNUMBER(SEARCH("trader",B25))),"Finance",OR(ISNUMBER(SEARCH("ventures",C25)),ISNUMBER(SEARCH("private equity",B25)),ISNUMBER(SEARCH("capital partners",C25))),"Private Equity / VC",OR(ISNUMBER(SEARCH("government",C25)),ISNUMBER(SEARCH("ministry",C25)),ISNUMBER(SEARCH("tribunal",C25)),ISNUMBER(SEARCH("tdsb",C25)),ISNUMBER(SEARCH("public service",C25))),"Government",OR(ISNUMBER(SEARCH("association",C25)),ISNUMBER(SEARCH("institute",C25)),ISNUMBER(SEARCH("foundation",C25))),"Nonprofit",OR(ISNUMBER(SEARCH("software",C25)),ISNUMBER(SEARCH("tech",C25)),ISNUMBER(SEARCH("systems",C25)),ISNUMBER(SEARCH("digital",C25)),ISNUMBER(SEARCH("engineering",C25)),ISNUMBER(SEARCH("solutions",C25))),"Technology",TRUE,"Other")</f>
        <v>Other</v>
      </c>
    </row>
    <row r="26" spans="1:11" x14ac:dyDescent="0.3">
      <c r="A26" s="4" t="s">
        <v>1169</v>
      </c>
      <c r="B26" s="4" t="s">
        <v>1170</v>
      </c>
      <c r="C26" s="4" t="s">
        <v>1171</v>
      </c>
      <c r="D26" s="4" t="s">
        <v>1172</v>
      </c>
      <c r="E26" s="18">
        <v>2050000</v>
      </c>
      <c r="F26" s="5">
        <v>42578</v>
      </c>
      <c r="G26" s="6">
        <v>3.37</v>
      </c>
      <c r="H26" s="9">
        <v>95</v>
      </c>
      <c r="I26" s="10" t="s">
        <v>1052</v>
      </c>
      <c r="J26" s="10" t="s">
        <v>1053</v>
      </c>
      <c r="K26" s="10" t="s">
        <v>1051</v>
      </c>
    </row>
    <row r="27" spans="1:11" x14ac:dyDescent="0.3">
      <c r="A27" s="4" t="s">
        <v>1165</v>
      </c>
      <c r="B27" s="4" t="s">
        <v>1166</v>
      </c>
      <c r="C27" s="4" t="s">
        <v>1167</v>
      </c>
      <c r="D27" s="4" t="s">
        <v>1168</v>
      </c>
      <c r="E27" s="18">
        <v>2100000</v>
      </c>
      <c r="F27" s="5">
        <v>44796</v>
      </c>
      <c r="G27" s="6">
        <v>3.4</v>
      </c>
      <c r="H27" s="9">
        <v>95</v>
      </c>
      <c r="I27" s="10" t="s">
        <v>1052</v>
      </c>
      <c r="J27" s="10" t="s">
        <v>1053</v>
      </c>
      <c r="K27" s="10" t="s">
        <v>1066</v>
      </c>
    </row>
    <row r="28" spans="1:11" x14ac:dyDescent="0.3">
      <c r="A28" s="4" t="s">
        <v>1147</v>
      </c>
      <c r="B28" s="4" t="s">
        <v>1561</v>
      </c>
      <c r="C28" s="4" t="s">
        <v>1148</v>
      </c>
      <c r="D28" s="4" t="s">
        <v>1149</v>
      </c>
      <c r="E28" s="18">
        <v>2300000</v>
      </c>
      <c r="F28" s="5">
        <v>42942</v>
      </c>
      <c r="G28" s="6">
        <v>3.46</v>
      </c>
      <c r="H28" s="9">
        <v>95</v>
      </c>
      <c r="I28" s="10" t="s">
        <v>1052</v>
      </c>
      <c r="J28" s="10" t="s">
        <v>1053</v>
      </c>
      <c r="K28" s="10" t="s">
        <v>1054</v>
      </c>
    </row>
    <row r="29" spans="1:11" x14ac:dyDescent="0.3">
      <c r="A29" s="4" t="s">
        <v>621</v>
      </c>
      <c r="B29" s="4" t="s">
        <v>265</v>
      </c>
      <c r="C29" s="4" t="s">
        <v>622</v>
      </c>
      <c r="D29" s="4" t="s">
        <v>623</v>
      </c>
      <c r="E29" s="18">
        <v>2543070</v>
      </c>
      <c r="F29" s="5">
        <v>41730</v>
      </c>
      <c r="G29" s="6">
        <v>3.81</v>
      </c>
      <c r="H29" s="9">
        <v>95</v>
      </c>
      <c r="I29" s="10" t="s">
        <v>1052</v>
      </c>
      <c r="J29" s="10" t="s">
        <v>1053</v>
      </c>
      <c r="K29" s="10" t="s">
        <v>1051</v>
      </c>
    </row>
    <row r="30" spans="1:11" x14ac:dyDescent="0.3">
      <c r="A30" s="4" t="s">
        <v>1135</v>
      </c>
      <c r="B30" s="4" t="s">
        <v>220</v>
      </c>
      <c r="C30" s="4" t="s">
        <v>1136</v>
      </c>
      <c r="D30" s="4" t="s">
        <v>1137</v>
      </c>
      <c r="E30" s="18">
        <v>2600000</v>
      </c>
      <c r="F30" s="5">
        <v>45434</v>
      </c>
      <c r="G30" s="6">
        <v>3.25</v>
      </c>
      <c r="H30" s="9">
        <v>95</v>
      </c>
      <c r="I30" s="10" t="s">
        <v>1052</v>
      </c>
      <c r="J30" s="10" t="s">
        <v>1053</v>
      </c>
      <c r="K30" s="10" t="s">
        <v>1051</v>
      </c>
    </row>
    <row r="31" spans="1:11" x14ac:dyDescent="0.3">
      <c r="A31" s="4" t="s">
        <v>25</v>
      </c>
      <c r="B31" s="4" t="s">
        <v>26</v>
      </c>
      <c r="C31" s="4" t="s">
        <v>27</v>
      </c>
      <c r="D31" s="4" t="s">
        <v>28</v>
      </c>
      <c r="E31" s="18">
        <v>2730000</v>
      </c>
      <c r="F31" s="5">
        <v>44712</v>
      </c>
      <c r="G31" s="6">
        <v>2.8839999999999999</v>
      </c>
      <c r="H31" s="9">
        <v>95</v>
      </c>
      <c r="I31" s="10" t="s">
        <v>1052</v>
      </c>
      <c r="J31" s="10" t="s">
        <v>1053</v>
      </c>
      <c r="K31" s="10" t="s">
        <v>1068</v>
      </c>
    </row>
    <row r="32" spans="1:11" x14ac:dyDescent="0.3">
      <c r="A32" s="4" t="s">
        <v>219</v>
      </c>
      <c r="B32" s="4" t="s">
        <v>220</v>
      </c>
      <c r="C32" s="4" t="s">
        <v>221</v>
      </c>
      <c r="D32" s="4" t="s">
        <v>222</v>
      </c>
      <c r="E32" s="18">
        <v>2795000</v>
      </c>
      <c r="F32" s="5">
        <v>45134</v>
      </c>
      <c r="G32" s="6">
        <v>4.7279999999999998</v>
      </c>
      <c r="H32" s="9">
        <v>95</v>
      </c>
      <c r="I32" s="10" t="s">
        <v>1052</v>
      </c>
      <c r="J32" s="10" t="s">
        <v>1053</v>
      </c>
      <c r="K32" s="10" t="s">
        <v>1051</v>
      </c>
    </row>
    <row r="33" spans="1:11" x14ac:dyDescent="0.3">
      <c r="A33" s="4" t="s">
        <v>1252</v>
      </c>
      <c r="B33" s="4" t="s">
        <v>220</v>
      </c>
      <c r="C33" s="4" t="s">
        <v>1253</v>
      </c>
      <c r="D33" s="4" t="s">
        <v>1254</v>
      </c>
      <c r="E33" s="18">
        <v>2840670</v>
      </c>
      <c r="F33" s="5">
        <v>42034</v>
      </c>
      <c r="G33" s="6">
        <v>6.25</v>
      </c>
      <c r="H33" s="9">
        <v>95</v>
      </c>
      <c r="I33" s="10" t="s">
        <v>1052</v>
      </c>
      <c r="J33" s="10" t="s">
        <v>1053</v>
      </c>
      <c r="K33" s="10" t="s">
        <v>1064</v>
      </c>
    </row>
    <row r="34" spans="1:11" x14ac:dyDescent="0.3">
      <c r="A34" s="4" t="s">
        <v>1118</v>
      </c>
      <c r="B34" s="4" t="s">
        <v>220</v>
      </c>
      <c r="C34" s="4" t="s">
        <v>1119</v>
      </c>
      <c r="D34" s="4" t="s">
        <v>1120</v>
      </c>
      <c r="E34" s="18">
        <v>3200000</v>
      </c>
      <c r="F34" s="5">
        <v>42951</v>
      </c>
      <c r="G34" s="6">
        <v>3.34</v>
      </c>
      <c r="H34" s="9">
        <v>95</v>
      </c>
      <c r="I34" s="10" t="s">
        <v>1052</v>
      </c>
      <c r="J34" s="10" t="s">
        <v>1053</v>
      </c>
      <c r="K34" s="10" t="s">
        <v>1059</v>
      </c>
    </row>
    <row r="35" spans="1:11" x14ac:dyDescent="0.3">
      <c r="A35" s="4" t="s">
        <v>528</v>
      </c>
      <c r="B35" s="4" t="s">
        <v>529</v>
      </c>
      <c r="C35" s="4" t="s">
        <v>530</v>
      </c>
      <c r="D35" s="4" t="s">
        <v>531</v>
      </c>
      <c r="E35" s="18">
        <v>3200000</v>
      </c>
      <c r="F35" s="5">
        <v>45386</v>
      </c>
      <c r="G35" s="6">
        <v>3.91</v>
      </c>
      <c r="H35" s="9">
        <v>95</v>
      </c>
      <c r="I35" s="10" t="s">
        <v>1052</v>
      </c>
      <c r="J35" s="10" t="s">
        <v>1053</v>
      </c>
      <c r="K35" s="10" t="s">
        <v>1051</v>
      </c>
    </row>
    <row r="36" spans="1:11" x14ac:dyDescent="0.3">
      <c r="A36" s="4" t="s">
        <v>500</v>
      </c>
      <c r="B36" s="4" t="s">
        <v>265</v>
      </c>
      <c r="C36" s="4" t="s">
        <v>501</v>
      </c>
      <c r="D36" s="4" t="s">
        <v>502</v>
      </c>
      <c r="E36" s="18">
        <v>3500000</v>
      </c>
      <c r="F36" s="5">
        <v>40700</v>
      </c>
      <c r="G36" s="6">
        <v>4.05</v>
      </c>
      <c r="H36" s="9">
        <v>95</v>
      </c>
      <c r="I36" s="10" t="s">
        <v>1052</v>
      </c>
      <c r="J36" s="10" t="s">
        <v>1053</v>
      </c>
      <c r="K36" s="10" t="s">
        <v>1059</v>
      </c>
    </row>
    <row r="37" spans="1:11" x14ac:dyDescent="0.3">
      <c r="A37" s="4" t="s">
        <v>444</v>
      </c>
      <c r="B37" s="4" t="s">
        <v>611</v>
      </c>
      <c r="C37" s="4" t="s">
        <v>1073</v>
      </c>
      <c r="D37" s="4" t="s">
        <v>445</v>
      </c>
      <c r="E37" s="18">
        <v>3900000</v>
      </c>
      <c r="F37" s="5">
        <v>43717</v>
      </c>
      <c r="G37" s="6">
        <v>3.86</v>
      </c>
      <c r="H37" s="9">
        <v>95</v>
      </c>
      <c r="I37" s="10" t="s">
        <v>174</v>
      </c>
      <c r="J37" s="10" t="s">
        <v>1053</v>
      </c>
      <c r="K37" s="10" t="s">
        <v>1065</v>
      </c>
    </row>
    <row r="38" spans="1:11" x14ac:dyDescent="0.3">
      <c r="A38" s="11" t="s">
        <v>1087</v>
      </c>
      <c r="B38" s="11" t="s">
        <v>220</v>
      </c>
      <c r="C38" s="13" t="s">
        <v>1088</v>
      </c>
      <c r="D38" s="13" t="s">
        <v>1089</v>
      </c>
      <c r="E38" s="17">
        <v>4100000</v>
      </c>
      <c r="F38" s="33">
        <v>45096</v>
      </c>
      <c r="G38" s="14">
        <v>3.41</v>
      </c>
      <c r="H38" s="9">
        <v>95</v>
      </c>
      <c r="I38" s="10" t="s">
        <v>1052</v>
      </c>
      <c r="J38" s="10" t="s">
        <v>1053</v>
      </c>
      <c r="K38" s="10" t="s">
        <v>1067</v>
      </c>
    </row>
    <row r="39" spans="1:11" x14ac:dyDescent="0.3">
      <c r="A39" s="11" t="s">
        <v>1249</v>
      </c>
      <c r="B39" s="11" t="s">
        <v>220</v>
      </c>
      <c r="C39" s="11" t="s">
        <v>1250</v>
      </c>
      <c r="D39" s="11" t="s">
        <v>1251</v>
      </c>
      <c r="E39" s="17">
        <v>4225000</v>
      </c>
      <c r="F39" s="33">
        <v>34122</v>
      </c>
      <c r="G39" s="12">
        <v>6.74</v>
      </c>
      <c r="H39" s="9">
        <v>95</v>
      </c>
      <c r="I39" s="10" t="s">
        <v>1052</v>
      </c>
      <c r="J39" s="10" t="s">
        <v>1053</v>
      </c>
      <c r="K39" s="10" t="s">
        <v>1054</v>
      </c>
    </row>
    <row r="40" spans="1:11" x14ac:dyDescent="0.3">
      <c r="A40" s="4" t="s">
        <v>394</v>
      </c>
      <c r="B40" s="4" t="s">
        <v>265</v>
      </c>
      <c r="C40" s="4" t="s">
        <v>395</v>
      </c>
      <c r="D40" s="4" t="s">
        <v>393</v>
      </c>
      <c r="E40" s="16">
        <v>4680000</v>
      </c>
      <c r="F40" s="5">
        <v>45520</v>
      </c>
      <c r="G40" s="6">
        <v>4.1100000000000003</v>
      </c>
      <c r="H40" s="9">
        <v>95</v>
      </c>
      <c r="I40" s="10" t="s">
        <v>1052</v>
      </c>
      <c r="J40" s="10" t="s">
        <v>1053</v>
      </c>
      <c r="K40" s="10" t="s">
        <v>1051</v>
      </c>
    </row>
    <row r="41" spans="1:11" x14ac:dyDescent="0.3">
      <c r="A41" s="4" t="s">
        <v>383</v>
      </c>
      <c r="B41" s="4" t="s">
        <v>265</v>
      </c>
      <c r="C41" s="4" t="s">
        <v>1074</v>
      </c>
      <c r="D41" s="4" t="s">
        <v>384</v>
      </c>
      <c r="E41" s="16">
        <v>4932562</v>
      </c>
      <c r="F41" s="5">
        <v>45863</v>
      </c>
      <c r="G41" s="6">
        <v>4.0999999999999996</v>
      </c>
      <c r="H41" s="9">
        <v>95</v>
      </c>
      <c r="I41" s="10" t="s">
        <v>1052</v>
      </c>
      <c r="J41" s="10" t="s">
        <v>1053</v>
      </c>
      <c r="K41" s="10" t="s">
        <v>1051</v>
      </c>
    </row>
    <row r="42" spans="1:11" x14ac:dyDescent="0.3">
      <c r="A42" s="4" t="s">
        <v>381</v>
      </c>
      <c r="B42" s="4" t="s">
        <v>1076</v>
      </c>
      <c r="C42" s="4" t="s">
        <v>382</v>
      </c>
      <c r="D42" s="4" t="s">
        <v>380</v>
      </c>
      <c r="E42" s="16">
        <v>4995000</v>
      </c>
      <c r="F42" s="5">
        <v>43202</v>
      </c>
      <c r="G42" s="6">
        <v>4.01</v>
      </c>
      <c r="H42" s="9">
        <v>95</v>
      </c>
      <c r="I42" s="10" t="s">
        <v>1052</v>
      </c>
      <c r="J42" s="10" t="s">
        <v>1053</v>
      </c>
      <c r="K42" s="10" t="s">
        <v>1051</v>
      </c>
    </row>
    <row r="43" spans="1:11" x14ac:dyDescent="0.3">
      <c r="A43" s="4" t="s">
        <v>1244</v>
      </c>
      <c r="B43" s="4" t="s">
        <v>220</v>
      </c>
      <c r="C43" s="4" t="s">
        <v>1281</v>
      </c>
      <c r="D43" s="4" t="s">
        <v>1245</v>
      </c>
      <c r="E43" s="16">
        <v>9340000</v>
      </c>
      <c r="F43" s="5">
        <v>42209</v>
      </c>
      <c r="G43" s="6">
        <v>6.21</v>
      </c>
      <c r="H43" s="9">
        <v>95</v>
      </c>
      <c r="I43" s="10" t="s">
        <v>1052</v>
      </c>
      <c r="J43" s="10" t="s">
        <v>1053</v>
      </c>
      <c r="K43" s="10" t="s">
        <v>1059</v>
      </c>
    </row>
    <row r="44" spans="1:11" x14ac:dyDescent="0.3">
      <c r="A44" s="4" t="s">
        <v>959</v>
      </c>
      <c r="B44" s="4" t="s">
        <v>220</v>
      </c>
      <c r="C44" s="4" t="s">
        <v>960</v>
      </c>
      <c r="D44" s="4" t="s">
        <v>946</v>
      </c>
      <c r="E44" s="20" t="s">
        <v>1280</v>
      </c>
      <c r="F44" s="5">
        <v>27758</v>
      </c>
      <c r="G44" s="3">
        <v>3.71</v>
      </c>
      <c r="H44" s="9">
        <v>95</v>
      </c>
      <c r="I44" s="10" t="s">
        <v>1052</v>
      </c>
      <c r="J44" s="10" t="s">
        <v>1053</v>
      </c>
      <c r="K44" s="10" t="s">
        <v>1051</v>
      </c>
    </row>
    <row r="45" spans="1:11" x14ac:dyDescent="0.3">
      <c r="A45" s="27" t="s">
        <v>1398</v>
      </c>
      <c r="B45" s="27" t="s">
        <v>220</v>
      </c>
      <c r="C45" s="27" t="s">
        <v>1473</v>
      </c>
      <c r="D45" s="27" t="s">
        <v>1382</v>
      </c>
      <c r="E45" s="32" t="s">
        <v>1280</v>
      </c>
      <c r="F45" s="28">
        <v>45716</v>
      </c>
      <c r="G45" s="29">
        <v>3.24</v>
      </c>
      <c r="H45" s="30" cm="1">
        <f t="array" ref="H45">_xlfn.IFS(I45="Founder / Owner",IF(ISNUMBER(SEARCH("owner",B45)),80,96),I45="C-Suite",IF(OR(ISNUMBER(SEARCH("ceo",B45)),ISNUMBER(SEARCH("chief executive",B45))),95,91),I45="Managing Director",86,I45="Partner",IF(OR(ISNUMBER(SEARCH("managing partner",B45)),ISNUMBER(SEARCH("general partner",B45))),88,85),I45="VP / Head",_xlfn.IFS(OR(ISNUMBER(SEARCH("vice president",B45)),ISNUMBER(SEARCH("executive vice",B45))),91,ISNUMBER(SEARCH("svp",B45)),77,TRUE,73),I45="Director",IF(ISNUMBER(SEARCH("principal",B45)),72,71),I45="Individual Contributor",32,OR(ISNUMBER(SEARCH("surgeon",B45)),ISNUMBER(SEARCH("physician",B45)),ISNUMBER(SEARCH("doctor",B45)),ISNUMBER(SEARCH("dentist",B45)),ISNUMBER(SEARCH("psychiat",B45)),ISNUMBER(SEARCH("oncolog",B45)),ISNUMBER(SEARCH("neurolog",B45)),ISNUMBER(SEARCH("patholog",B45)),ISNUMBER(SEARCH("medicine",B45)),ISNUMBER(SEARCH("obgyn",B45))),77,OR(ISNUMBER(SEARCH("portfolio manager",B45)),ISNUMBER(SEARCH("wealth advisor",B45))),81,OR(ISNUMBER(SEARCH("lawyer",B45)),ISNUMBER(SEARCH("attorney",B45))),68,ISNUMBER(SEARCH("counsel",B45)),66,ISNUMBER(SEARCH("professor",B45)),63,OR(ISNUMBER(SEARCH("engineer",B45)),ISNUMBER(SEARCH("consultant",B45))),62,ISNUMBER(SEARCH("senior manager",B45)),64,OR(ISNUMBER(SEARCH("realtor",B45)),ISNUMBER(SEARCH("broker",B45)),ISNUMBER(SEARCH("journalist",B45)),ISNUMBER(SEARCH("columnist",B45)),ISNUMBER(SEARCH("trader",B45)),ISNUMBER(SEARCH("actor",B45))),50,TRUE,60)</f>
        <v>95</v>
      </c>
      <c r="I45" s="31" t="str" cm="1">
        <f t="array" ref="I45">_xlfn.LET(_xlpm.p," "&amp;LOWER(SUBSTITUTE(SUBSTITUTE(SUBSTITUTE(B45,",","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5" s="31" t="str" cm="1">
        <f t="array" ref="J45">_xlfn.IFS(H45&gt;=90,"Very High",H45&gt;=80,"High",H45&gt;=56,"Medium",TRUE,"Low")</f>
        <v>Very High</v>
      </c>
      <c r="K45" s="31" t="str" cm="1">
        <f t="array" ref="K45">_xlfn.IFS(OR(ISNUMBER(SEARCH("hospital",C45)),ISNUMBER(SEARCH("health",C45)),ISNUMBER(SEARCH("medical",C45)),ISNUMBER(SEARCH("clinic",C45)),ISNUMBER(SEARCH("nursing",C45)),ISNUMBER(SEARCH("care cent",C45)),ISNUMBER(SEARCH("physician",B45)),ISNUMBER(SEARCH("doctor",B45)),ISNUMBER(SEARCH("dentist",B45)),ISNUMBER(SEARCH("surgeon",B45)),ISNUMBER(SEARCH("psychiat",B45)),ISNUMBER(SEARCH("medicine",B45))),"Healthcare",OR(ISNUMBER(SEARCH("llp",C45)),ISNUMBER(SEARCH("lawyer",B45)),ISNUMBER(SEARCH("attorney",B45)),ISNUMBER(SEARCH("legal",C45)),ISNUMBER(SEARCH("tetrault",C45)),ISNUMBER(SEARCH("morley",C45)),ISNUMBER(SEARCH("blg",C45)),ISNUMBER(SEARCH("lowy",C45)),ISNUMBER(SEARCH("riley",C45)),ISNUMBER(SEARCH("toomath",C45))),"Law",OR(ISNUMBER(SEARCH("reit",C45)),ISNUMBER(SEARCH("properties",C45)),ISNUMBER(SEARCH("realty",C45)),ISNUMBER(SEARCH("realtor",B45)),ISNUMBER(SEARCH("colliers",C45)),ISNUMBER(SEARCH("re/max",C45)),ISNUMBER(SEARCH("quadreal",C45)),ISNUMBER(SEARCH("vic management",C45))),"Real Estate",OR(ISNUMBER(SEARCH("deloitte",C45)),ISNUMBER(SEARCH("kpmg",C45)),ISNUMBER(SEARCH("pwc",C45)),ISNUMBER(SEARCH("consulting",C45)),ISNUMBER(SEARCH("consultant",B45)),ISNUMBER(SEARCH("advisory",C45)),ISNUMBER(SEARCH("philanthropic",C45)),ISNUMBER(SEARCH("argyle",C45)),ISNUMBER(SEARCH("quinn",C45))),"Consulting",OR(ISNUMBER(SEARCH("media",C45)),ISNUMBER(SEARCH("news",C45)),ISNUMBER(SEARCH("radio",C45)),ISNUMBER(SEARCH("film",C45)),ISNUMBER(SEARCH("journalist",B45)),ISNUMBER(SEARCH("columnist",B45)),ISNUMBER(SEARCH("globe",C45)),ISNUMBER(SEARCH("marketing",C45)),ISNUMBER(SEARCH("actor",B45))),"Media",OR(ISNUMBER(SEARCH("rbc",C45)),ISNUMBER(SEARCH("cibc",C45)),ISNUMBER(SEARCH("bmo",C45)),ISNUMBER(SEARCH("scotia",C45)),ISNUMBER(SEARCH("bank",C45)),ISNUMBER(SEARCH("capital",C45)),ISNUMBER(SEARCH("wealth",C45)),ISNUMBER(SEARCH("financial",C45)),ISNUMBER(SEARCH("securities",C45)),ISNUMBER(SEARCH("fidelity",C45)),ISNUMBER(SEARCH("guardian",C45)),ISNUMBER(SEARCH("wealthsimple",C45)),ISNUMBER(SEARCH("credit suisse",C45)),ISNUMBER(SEARCH("tmx",C45)),ISNUMBER(SEARCH("investors",C45)),ISNUMBER(SEARCH("trader",B45))),"Finance",OR(ISNUMBER(SEARCH("ventures",C45)),ISNUMBER(SEARCH("private equity",B45)),ISNUMBER(SEARCH("capital partners",C45))),"Private Equity / VC",OR(ISNUMBER(SEARCH("government",C45)),ISNUMBER(SEARCH("ministry",C45)),ISNUMBER(SEARCH("tribunal",C45)),ISNUMBER(SEARCH("tdsb",C45)),ISNUMBER(SEARCH("public service",C45))),"Government",OR(ISNUMBER(SEARCH("association",C45)),ISNUMBER(SEARCH("institute",C45)),ISNUMBER(SEARCH("foundation",C45))),"Nonprofit",OR(ISNUMBER(SEARCH("software",C45)),ISNUMBER(SEARCH("tech",C45)),ISNUMBER(SEARCH("systems",C45)),ISNUMBER(SEARCH("digital",C45)),ISNUMBER(SEARCH("engineering",C45)),ISNUMBER(SEARCH("solutions",C45))),"Technology",TRUE,"Other")</f>
        <v>Private Equity / VC</v>
      </c>
    </row>
    <row r="46" spans="1:11" x14ac:dyDescent="0.3">
      <c r="A46" s="7" t="s">
        <v>1267</v>
      </c>
      <c r="B46" s="7" t="s">
        <v>220</v>
      </c>
      <c r="C46" s="7" t="s">
        <v>1268</v>
      </c>
      <c r="D46" s="7" t="s">
        <v>1269</v>
      </c>
      <c r="E46" s="20" t="s">
        <v>1280</v>
      </c>
      <c r="F46" s="34">
        <v>41696</v>
      </c>
      <c r="G46" s="3">
        <v>6.78</v>
      </c>
      <c r="H46" s="9">
        <v>95</v>
      </c>
      <c r="I46" s="10" t="s">
        <v>1052</v>
      </c>
      <c r="J46" s="10" t="s">
        <v>1053</v>
      </c>
      <c r="K46" s="10" t="s">
        <v>1067</v>
      </c>
    </row>
    <row r="47" spans="1:11" x14ac:dyDescent="0.3">
      <c r="A47" s="11" t="s">
        <v>1273</v>
      </c>
      <c r="B47" s="11" t="s">
        <v>220</v>
      </c>
      <c r="C47" s="11" t="s">
        <v>1274</v>
      </c>
      <c r="D47" s="11" t="s">
        <v>1275</v>
      </c>
      <c r="E47" s="21" t="s">
        <v>1280</v>
      </c>
      <c r="F47" s="33">
        <v>41180</v>
      </c>
      <c r="G47" s="12">
        <v>6.87</v>
      </c>
      <c r="H47" s="9">
        <v>95</v>
      </c>
      <c r="I47" s="10" t="s">
        <v>1052</v>
      </c>
      <c r="J47" s="10" t="s">
        <v>1053</v>
      </c>
      <c r="K47" s="10" t="s">
        <v>1064</v>
      </c>
    </row>
    <row r="48" spans="1:11" x14ac:dyDescent="0.3">
      <c r="A48" s="7" t="s">
        <v>1014</v>
      </c>
      <c r="B48" s="7" t="s">
        <v>1015</v>
      </c>
      <c r="C48" s="7" t="s">
        <v>1538</v>
      </c>
      <c r="D48" s="7" t="s">
        <v>1016</v>
      </c>
      <c r="E48" s="20" t="s">
        <v>1280</v>
      </c>
      <c r="F48" s="34">
        <v>37931</v>
      </c>
      <c r="G48" s="3">
        <v>4.1500000000000004</v>
      </c>
      <c r="H48" s="9">
        <v>95</v>
      </c>
      <c r="I48" s="10" t="s">
        <v>1052</v>
      </c>
      <c r="J48" s="10" t="s">
        <v>1053</v>
      </c>
      <c r="K48" s="10" t="s">
        <v>1062</v>
      </c>
    </row>
    <row r="49" spans="1:11" x14ac:dyDescent="0.3">
      <c r="A49" s="4" t="s">
        <v>139</v>
      </c>
      <c r="B49" s="4" t="s">
        <v>140</v>
      </c>
      <c r="C49" s="4" t="s">
        <v>141</v>
      </c>
      <c r="D49" s="4" t="s">
        <v>142</v>
      </c>
      <c r="E49" s="20" t="s">
        <v>1280</v>
      </c>
      <c r="F49" s="5">
        <v>46031</v>
      </c>
      <c r="G49" s="3">
        <v>2.794</v>
      </c>
      <c r="H49" s="9">
        <v>95</v>
      </c>
      <c r="I49" s="10" t="s">
        <v>1052</v>
      </c>
      <c r="J49" s="10" t="s">
        <v>1053</v>
      </c>
      <c r="K49" s="10" t="s">
        <v>1064</v>
      </c>
    </row>
    <row r="50" spans="1:11" x14ac:dyDescent="0.3">
      <c r="A50" s="4" t="s">
        <v>22</v>
      </c>
      <c r="B50" s="4" t="s">
        <v>7</v>
      </c>
      <c r="C50" s="4" t="s">
        <v>23</v>
      </c>
      <c r="D50" s="4" t="s">
        <v>24</v>
      </c>
      <c r="E50" s="18">
        <v>200000</v>
      </c>
      <c r="F50" s="5">
        <v>34155</v>
      </c>
      <c r="G50" s="6">
        <v>4.6849999999999996</v>
      </c>
      <c r="H50" s="9">
        <v>91</v>
      </c>
      <c r="I50" s="10" t="s">
        <v>1052</v>
      </c>
      <c r="J50" s="10" t="s">
        <v>1053</v>
      </c>
      <c r="K50" s="10" t="s">
        <v>1051</v>
      </c>
    </row>
    <row r="51" spans="1:11" x14ac:dyDescent="0.3">
      <c r="A51" s="4" t="s">
        <v>74</v>
      </c>
      <c r="B51" s="4" t="s">
        <v>75</v>
      </c>
      <c r="C51" s="4" t="s">
        <v>76</v>
      </c>
      <c r="D51" s="4" t="s">
        <v>77</v>
      </c>
      <c r="E51" s="18">
        <v>465000</v>
      </c>
      <c r="F51" s="5">
        <v>35621</v>
      </c>
      <c r="G51" s="3">
        <v>2.8820000000000001</v>
      </c>
      <c r="H51" s="9">
        <v>91</v>
      </c>
      <c r="I51" s="10" t="s">
        <v>1063</v>
      </c>
      <c r="J51" s="10" t="s">
        <v>1053</v>
      </c>
      <c r="K51" s="10" t="s">
        <v>1051</v>
      </c>
    </row>
    <row r="52" spans="1:11" x14ac:dyDescent="0.3">
      <c r="A52" s="7" t="s">
        <v>116</v>
      </c>
      <c r="B52" s="7" t="s">
        <v>11</v>
      </c>
      <c r="C52" s="7" t="s">
        <v>117</v>
      </c>
      <c r="D52" s="7" t="s">
        <v>118</v>
      </c>
      <c r="E52" s="16">
        <v>615000</v>
      </c>
      <c r="F52" s="34">
        <v>42320</v>
      </c>
      <c r="G52" s="3">
        <v>3.2</v>
      </c>
      <c r="H52" s="9">
        <v>91</v>
      </c>
      <c r="I52" s="10" t="s">
        <v>1052</v>
      </c>
      <c r="J52" s="10" t="s">
        <v>1053</v>
      </c>
      <c r="K52" s="10" t="s">
        <v>1051</v>
      </c>
    </row>
    <row r="53" spans="1:11" x14ac:dyDescent="0.3">
      <c r="A53" s="4" t="s">
        <v>928</v>
      </c>
      <c r="B53" s="4" t="s">
        <v>11</v>
      </c>
      <c r="C53" s="4" t="s">
        <v>929</v>
      </c>
      <c r="D53" s="4" t="s">
        <v>930</v>
      </c>
      <c r="E53" s="18">
        <v>1050000</v>
      </c>
      <c r="F53" s="5">
        <v>38909</v>
      </c>
      <c r="G53" s="6">
        <v>3.96</v>
      </c>
      <c r="H53" s="9">
        <v>91</v>
      </c>
      <c r="I53" s="10" t="s">
        <v>1052</v>
      </c>
      <c r="J53" s="10" t="s">
        <v>1053</v>
      </c>
      <c r="K53" s="10" t="s">
        <v>1066</v>
      </c>
    </row>
    <row r="54" spans="1:11" x14ac:dyDescent="0.3">
      <c r="A54" s="4" t="s">
        <v>917</v>
      </c>
      <c r="B54" s="4" t="s">
        <v>918</v>
      </c>
      <c r="C54" s="4" t="s">
        <v>919</v>
      </c>
      <c r="D54" s="4" t="s">
        <v>920</v>
      </c>
      <c r="E54" s="18">
        <v>1150000</v>
      </c>
      <c r="F54" s="5">
        <v>40578</v>
      </c>
      <c r="G54" s="6">
        <v>3.66</v>
      </c>
      <c r="H54" s="9">
        <v>91</v>
      </c>
      <c r="I54" s="10" t="s">
        <v>1063</v>
      </c>
      <c r="J54" s="10" t="s">
        <v>1053</v>
      </c>
      <c r="K54" s="10" t="s">
        <v>1054</v>
      </c>
    </row>
    <row r="55" spans="1:11" x14ac:dyDescent="0.3">
      <c r="A55" s="4" t="s">
        <v>897</v>
      </c>
      <c r="B55" s="4" t="s">
        <v>11</v>
      </c>
      <c r="C55" s="4" t="s">
        <v>898</v>
      </c>
      <c r="D55" s="4" t="s">
        <v>899</v>
      </c>
      <c r="E55" s="18">
        <v>1251000</v>
      </c>
      <c r="F55" s="5">
        <v>39568</v>
      </c>
      <c r="G55" s="6">
        <v>4.13</v>
      </c>
      <c r="H55" s="9">
        <v>91</v>
      </c>
      <c r="I55" s="10" t="s">
        <v>1052</v>
      </c>
      <c r="J55" s="10" t="s">
        <v>1053</v>
      </c>
      <c r="K55" s="10" t="s">
        <v>1065</v>
      </c>
    </row>
    <row r="56" spans="1:11" x14ac:dyDescent="0.3">
      <c r="A56" s="4" t="s">
        <v>887</v>
      </c>
      <c r="B56" s="4" t="s">
        <v>11</v>
      </c>
      <c r="C56" s="4" t="s">
        <v>888</v>
      </c>
      <c r="D56" s="4" t="s">
        <v>889</v>
      </c>
      <c r="E56" s="18">
        <v>1295000</v>
      </c>
      <c r="F56" s="5">
        <v>41138</v>
      </c>
      <c r="G56" s="6">
        <v>3.76</v>
      </c>
      <c r="H56" s="9">
        <v>91</v>
      </c>
      <c r="I56" s="10" t="s">
        <v>1052</v>
      </c>
      <c r="J56" s="10" t="s">
        <v>1053</v>
      </c>
      <c r="K56" s="10" t="s">
        <v>1062</v>
      </c>
    </row>
    <row r="57" spans="1:11" x14ac:dyDescent="0.3">
      <c r="A57" s="4" t="s">
        <v>883</v>
      </c>
      <c r="B57" s="4" t="s">
        <v>884</v>
      </c>
      <c r="C57" s="4" t="s">
        <v>885</v>
      </c>
      <c r="D57" s="4" t="s">
        <v>886</v>
      </c>
      <c r="E57" s="18">
        <v>1300000</v>
      </c>
      <c r="F57" s="5">
        <v>41229</v>
      </c>
      <c r="G57" s="6">
        <v>4.04</v>
      </c>
      <c r="H57" s="9">
        <v>91</v>
      </c>
      <c r="I57" s="10" t="s">
        <v>1063</v>
      </c>
      <c r="J57" s="10" t="s">
        <v>1053</v>
      </c>
      <c r="K57" s="10" t="s">
        <v>1062</v>
      </c>
    </row>
    <row r="58" spans="1:11" x14ac:dyDescent="0.3">
      <c r="A58" s="11" t="s">
        <v>881</v>
      </c>
      <c r="B58" s="11" t="s">
        <v>1492</v>
      </c>
      <c r="C58" s="11" t="s">
        <v>1493</v>
      </c>
      <c r="D58" s="11" t="s">
        <v>882</v>
      </c>
      <c r="E58" s="17">
        <v>1305000</v>
      </c>
      <c r="F58" s="33">
        <v>40037</v>
      </c>
      <c r="G58" s="12">
        <v>3.86</v>
      </c>
      <c r="H58" s="9">
        <v>91</v>
      </c>
      <c r="I58" s="10" t="s">
        <v>1063</v>
      </c>
      <c r="J58" s="10" t="s">
        <v>1053</v>
      </c>
      <c r="K58" s="10" t="s">
        <v>1054</v>
      </c>
    </row>
    <row r="59" spans="1:11" x14ac:dyDescent="0.3">
      <c r="A59" s="27" t="s">
        <v>1352</v>
      </c>
      <c r="B59" s="27" t="s">
        <v>1548</v>
      </c>
      <c r="C59" s="27" t="s">
        <v>1469</v>
      </c>
      <c r="D59" s="27" t="s">
        <v>1353</v>
      </c>
      <c r="E59" s="32">
        <v>1305000</v>
      </c>
      <c r="F59" s="28">
        <v>43860</v>
      </c>
      <c r="G59" s="29">
        <v>3.29</v>
      </c>
      <c r="H59" s="30" cm="1">
        <f t="array" ref="H59">_xlfn.IFS(I59="Founder / Owner",IF(ISNUMBER(SEARCH("owner",B59)),80,96),I59="C-Suite",IF(OR(ISNUMBER(SEARCH("ceo",B59)),ISNUMBER(SEARCH("chief executive",B59))),95,91),I59="Managing Director",86,I59="Partner",IF(OR(ISNUMBER(SEARCH("managing partner",B59)),ISNUMBER(SEARCH("general partner",B59))),88,85),I59="VP / Head",_xlfn.IFS(OR(ISNUMBER(SEARCH("vice president",B59)),ISNUMBER(SEARCH("executive vice",B59))),91,ISNUMBER(SEARCH("svp",B59)),77,TRUE,73),I59="Director",IF(ISNUMBER(SEARCH("principal",B59)),72,71),I59="Individual Contributor",32,OR(ISNUMBER(SEARCH("surgeon",B59)),ISNUMBER(SEARCH("physician",B59)),ISNUMBER(SEARCH("doctor",B59)),ISNUMBER(SEARCH("dentist",B59)),ISNUMBER(SEARCH("psychiat",B59)),ISNUMBER(SEARCH("oncolog",B59)),ISNUMBER(SEARCH("neurolog",B59)),ISNUMBER(SEARCH("patholog",B59)),ISNUMBER(SEARCH("medicine",B59)),ISNUMBER(SEARCH("obgyn",B59))),77,OR(ISNUMBER(SEARCH("portfolio manager",B59)),ISNUMBER(SEARCH("wealth advisor",B59))),81,OR(ISNUMBER(SEARCH("lawyer",B59)),ISNUMBER(SEARCH("attorney",B59))),68,ISNUMBER(SEARCH("counsel",B59)),66,ISNUMBER(SEARCH("professor",B59)),63,OR(ISNUMBER(SEARCH("engineer",B59)),ISNUMBER(SEARCH("consultant",B59))),62,ISNUMBER(SEARCH("senior manager",B59)),64,OR(ISNUMBER(SEARCH("realtor",B59)),ISNUMBER(SEARCH("broker",B59)),ISNUMBER(SEARCH("journalist",B59)),ISNUMBER(SEARCH("columnist",B59)),ISNUMBER(SEARCH("trader",B59)),ISNUMBER(SEARCH("actor",B59))),50,TRUE,60)</f>
        <v>91</v>
      </c>
      <c r="I59" s="31" t="str" cm="1">
        <f t="array" ref="I59">_xlfn.LET(_xlpm.p," "&amp;LOWER(SUBSTITUTE(SUBSTITUTE(SUBSTITUTE(B59,",","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59" s="31" t="str" cm="1">
        <f t="array" ref="J59">_xlfn.IFS(H59&gt;=90,"Very High",H59&gt;=80,"High",H59&gt;=56,"Medium",TRUE,"Low")</f>
        <v>Very High</v>
      </c>
      <c r="K59" s="31" t="str" cm="1">
        <f t="array" ref="K59">_xlfn.IFS(OR(ISNUMBER(SEARCH("hospital",C59)),ISNUMBER(SEARCH("health",C59)),ISNUMBER(SEARCH("medical",C59)),ISNUMBER(SEARCH("clinic",C59)),ISNUMBER(SEARCH("nursing",C59)),ISNUMBER(SEARCH("care cent",C59)),ISNUMBER(SEARCH("physician",B59)),ISNUMBER(SEARCH("doctor",B59)),ISNUMBER(SEARCH("dentist",B59)),ISNUMBER(SEARCH("surgeon",B59)),ISNUMBER(SEARCH("psychiat",B59)),ISNUMBER(SEARCH("medicine",B59))),"Healthcare",OR(ISNUMBER(SEARCH("llp",C59)),ISNUMBER(SEARCH("lawyer",B59)),ISNUMBER(SEARCH("attorney",B59)),ISNUMBER(SEARCH("legal",C59)),ISNUMBER(SEARCH("tetrault",C59)),ISNUMBER(SEARCH("morley",C59)),ISNUMBER(SEARCH("blg",C59)),ISNUMBER(SEARCH("lowy",C59)),ISNUMBER(SEARCH("riley",C59)),ISNUMBER(SEARCH("toomath",C59))),"Law",OR(ISNUMBER(SEARCH("reit",C59)),ISNUMBER(SEARCH("properties",C59)),ISNUMBER(SEARCH("realty",C59)),ISNUMBER(SEARCH("realtor",B59)),ISNUMBER(SEARCH("colliers",C59)),ISNUMBER(SEARCH("re/max",C59)),ISNUMBER(SEARCH("quadreal",C59)),ISNUMBER(SEARCH("vic management",C59))),"Real Estate",OR(ISNUMBER(SEARCH("deloitte",C59)),ISNUMBER(SEARCH("kpmg",C59)),ISNUMBER(SEARCH("pwc",C59)),ISNUMBER(SEARCH("consulting",C59)),ISNUMBER(SEARCH("consultant",B59)),ISNUMBER(SEARCH("advisory",C59)),ISNUMBER(SEARCH("philanthropic",C59)),ISNUMBER(SEARCH("argyle",C59)),ISNUMBER(SEARCH("quinn",C59))),"Consulting",OR(ISNUMBER(SEARCH("media",C59)),ISNUMBER(SEARCH("news",C59)),ISNUMBER(SEARCH("radio",C59)),ISNUMBER(SEARCH("film",C59)),ISNUMBER(SEARCH("journalist",B59)),ISNUMBER(SEARCH("columnist",B59)),ISNUMBER(SEARCH("globe",C59)),ISNUMBER(SEARCH("marketing",C59)),ISNUMBER(SEARCH("actor",B59))),"Media",OR(ISNUMBER(SEARCH("rbc",C59)),ISNUMBER(SEARCH("cibc",C59)),ISNUMBER(SEARCH("bmo",C59)),ISNUMBER(SEARCH("scotia",C59)),ISNUMBER(SEARCH("bank",C59)),ISNUMBER(SEARCH("capital",C59)),ISNUMBER(SEARCH("wealth",C59)),ISNUMBER(SEARCH("financial",C59)),ISNUMBER(SEARCH("securities",C59)),ISNUMBER(SEARCH("fidelity",C59)),ISNUMBER(SEARCH("guardian",C59)),ISNUMBER(SEARCH("wealthsimple",C59)),ISNUMBER(SEARCH("credit suisse",C59)),ISNUMBER(SEARCH("tmx",C59)),ISNUMBER(SEARCH("investors",C59)),ISNUMBER(SEARCH("trader",B59))),"Finance",OR(ISNUMBER(SEARCH("ventures",C59)),ISNUMBER(SEARCH("private equity",B59)),ISNUMBER(SEARCH("capital partners",C59))),"Private Equity / VC",OR(ISNUMBER(SEARCH("government",C59)),ISNUMBER(SEARCH("ministry",C59)),ISNUMBER(SEARCH("tribunal",C59)),ISNUMBER(SEARCH("tdsb",C59)),ISNUMBER(SEARCH("public service",C59))),"Government",OR(ISNUMBER(SEARCH("association",C59)),ISNUMBER(SEARCH("institute",C59)),ISNUMBER(SEARCH("foundation",C59))),"Nonprofit",OR(ISNUMBER(SEARCH("software",C59)),ISNUMBER(SEARCH("tech",C59)),ISNUMBER(SEARCH("systems",C59)),ISNUMBER(SEARCH("digital",C59)),ISNUMBER(SEARCH("engineering",C59)),ISNUMBER(SEARCH("solutions",C59))),"Technology",TRUE,"Other")</f>
        <v>Media</v>
      </c>
    </row>
    <row r="60" spans="1:11" x14ac:dyDescent="0.3">
      <c r="A60" s="27" t="s">
        <v>1404</v>
      </c>
      <c r="B60" s="27" t="s">
        <v>386</v>
      </c>
      <c r="C60" s="27" t="s">
        <v>1505</v>
      </c>
      <c r="D60" s="27" t="s">
        <v>1405</v>
      </c>
      <c r="E60" s="32">
        <v>1390000</v>
      </c>
      <c r="F60" s="28">
        <v>39994</v>
      </c>
      <c r="G60" s="29">
        <v>3.13</v>
      </c>
      <c r="H60" s="30" cm="1">
        <f t="array" ref="H60">_xlfn.IFS(I60="Founder / Owner",IF(ISNUMBER(SEARCH("owner",B60)),80,96),I60="C-Suite",IF(OR(ISNUMBER(SEARCH("ceo",B60)),ISNUMBER(SEARCH("chief executive",B60))),95,91),I60="Managing Director",86,I60="Partner",IF(OR(ISNUMBER(SEARCH("managing partner",B60)),ISNUMBER(SEARCH("general partner",B60))),88,85),I60="VP / Head",_xlfn.IFS(OR(ISNUMBER(SEARCH("vice president",B60)),ISNUMBER(SEARCH("executive vice",B60))),91,ISNUMBER(SEARCH("svp",B60)),77,TRUE,73),I60="Director",IF(ISNUMBER(SEARCH("principal",B60)),72,71),I60="Individual Contributor",32,OR(ISNUMBER(SEARCH("surgeon",B60)),ISNUMBER(SEARCH("physician",B60)),ISNUMBER(SEARCH("doctor",B60)),ISNUMBER(SEARCH("dentist",B60)),ISNUMBER(SEARCH("psychiat",B60)),ISNUMBER(SEARCH("oncolog",B60)),ISNUMBER(SEARCH("neurolog",B60)),ISNUMBER(SEARCH("patholog",B60)),ISNUMBER(SEARCH("medicine",B60)),ISNUMBER(SEARCH("obgyn",B60))),77,OR(ISNUMBER(SEARCH("portfolio manager",B60)),ISNUMBER(SEARCH("wealth advisor",B60))),81,OR(ISNUMBER(SEARCH("lawyer",B60)),ISNUMBER(SEARCH("attorney",B60))),68,ISNUMBER(SEARCH("counsel",B60)),66,ISNUMBER(SEARCH("professor",B60)),63,OR(ISNUMBER(SEARCH("engineer",B60)),ISNUMBER(SEARCH("consultant",B60))),62,ISNUMBER(SEARCH("senior manager",B60)),64,OR(ISNUMBER(SEARCH("realtor",B60)),ISNUMBER(SEARCH("broker",B60)),ISNUMBER(SEARCH("journalist",B60)),ISNUMBER(SEARCH("columnist",B60)),ISNUMBER(SEARCH("trader",B60)),ISNUMBER(SEARCH("actor",B60))),50,TRUE,60)</f>
        <v>91</v>
      </c>
      <c r="I60" s="31" t="str" cm="1">
        <f t="array" ref="I60">_xlfn.LET(_xlpm.p," "&amp;LOWER(SUBSTITUTE(SUBSTITUTE(SUBSTITUTE(B60,",","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60" s="31" t="str" cm="1">
        <f t="array" ref="J60">_xlfn.IFS(H60&gt;=90,"Very High",H60&gt;=80,"High",H60&gt;=56,"Medium",TRUE,"Low")</f>
        <v>Very High</v>
      </c>
      <c r="K60" s="31" t="str" cm="1">
        <f t="array" ref="K60">_xlfn.IFS(OR(ISNUMBER(SEARCH("hospital",C60)),ISNUMBER(SEARCH("health",C60)),ISNUMBER(SEARCH("medical",C60)),ISNUMBER(SEARCH("clinic",C60)),ISNUMBER(SEARCH("nursing",C60)),ISNUMBER(SEARCH("care cent",C60)),ISNUMBER(SEARCH("physician",B60)),ISNUMBER(SEARCH("doctor",B60)),ISNUMBER(SEARCH("dentist",B60)),ISNUMBER(SEARCH("surgeon",B60)),ISNUMBER(SEARCH("psychiat",B60)),ISNUMBER(SEARCH("medicine",B60))),"Healthcare",OR(ISNUMBER(SEARCH("llp",C60)),ISNUMBER(SEARCH("lawyer",B60)),ISNUMBER(SEARCH("attorney",B60)),ISNUMBER(SEARCH("legal",C60)),ISNUMBER(SEARCH("tetrault",C60)),ISNUMBER(SEARCH("morley",C60)),ISNUMBER(SEARCH("blg",C60)),ISNUMBER(SEARCH("lowy",C60)),ISNUMBER(SEARCH("riley",C60)),ISNUMBER(SEARCH("toomath",C60))),"Law",OR(ISNUMBER(SEARCH("reit",C60)),ISNUMBER(SEARCH("properties",C60)),ISNUMBER(SEARCH("realty",C60)),ISNUMBER(SEARCH("realtor",B60)),ISNUMBER(SEARCH("colliers",C60)),ISNUMBER(SEARCH("re/max",C60)),ISNUMBER(SEARCH("quadreal",C60)),ISNUMBER(SEARCH("vic management",C60))),"Real Estate",OR(ISNUMBER(SEARCH("deloitte",C60)),ISNUMBER(SEARCH("kpmg",C60)),ISNUMBER(SEARCH("pwc",C60)),ISNUMBER(SEARCH("consulting",C60)),ISNUMBER(SEARCH("consultant",B60)),ISNUMBER(SEARCH("advisory",C60)),ISNUMBER(SEARCH("philanthropic",C60)),ISNUMBER(SEARCH("argyle",C60)),ISNUMBER(SEARCH("quinn",C60))),"Consulting",OR(ISNUMBER(SEARCH("media",C60)),ISNUMBER(SEARCH("news",C60)),ISNUMBER(SEARCH("radio",C60)),ISNUMBER(SEARCH("film",C60)),ISNUMBER(SEARCH("journalist",B60)),ISNUMBER(SEARCH("columnist",B60)),ISNUMBER(SEARCH("globe",C60)),ISNUMBER(SEARCH("marketing",C60)),ISNUMBER(SEARCH("actor",B60))),"Media",OR(ISNUMBER(SEARCH("rbc",C60)),ISNUMBER(SEARCH("cibc",C60)),ISNUMBER(SEARCH("bmo",C60)),ISNUMBER(SEARCH("scotia",C60)),ISNUMBER(SEARCH("bank",C60)),ISNUMBER(SEARCH("capital",C60)),ISNUMBER(SEARCH("wealth",C60)),ISNUMBER(SEARCH("financial",C60)),ISNUMBER(SEARCH("securities",C60)),ISNUMBER(SEARCH("fidelity",C60)),ISNUMBER(SEARCH("guardian",C60)),ISNUMBER(SEARCH("wealthsimple",C60)),ISNUMBER(SEARCH("credit suisse",C60)),ISNUMBER(SEARCH("tmx",C60)),ISNUMBER(SEARCH("investors",C60)),ISNUMBER(SEARCH("trader",B60))),"Finance",OR(ISNUMBER(SEARCH("ventures",C60)),ISNUMBER(SEARCH("private equity",B60)),ISNUMBER(SEARCH("capital partners",C60))),"Private Equity / VC",OR(ISNUMBER(SEARCH("government",C60)),ISNUMBER(SEARCH("ministry",C60)),ISNUMBER(SEARCH("tribunal",C60)),ISNUMBER(SEARCH("tdsb",C60)),ISNUMBER(SEARCH("public service",C60))),"Government",OR(ISNUMBER(SEARCH("association",C60)),ISNUMBER(SEARCH("institute",C60)),ISNUMBER(SEARCH("foundation",C60))),"Nonprofit",OR(ISNUMBER(SEARCH("software",C60)),ISNUMBER(SEARCH("tech",C60)),ISNUMBER(SEARCH("systems",C60)),ISNUMBER(SEARCH("digital",C60)),ISNUMBER(SEARCH("engineering",C60)),ISNUMBER(SEARCH("solutions",C60))),"Technology",TRUE,"Other")</f>
        <v>Healthcare</v>
      </c>
    </row>
    <row r="61" spans="1:11" x14ac:dyDescent="0.3">
      <c r="A61" s="4" t="s">
        <v>10</v>
      </c>
      <c r="B61" s="4" t="s">
        <v>11</v>
      </c>
      <c r="C61" s="4" t="s">
        <v>12</v>
      </c>
      <c r="D61" s="4" t="s">
        <v>13</v>
      </c>
      <c r="E61" s="18">
        <v>1395000</v>
      </c>
      <c r="F61" s="5">
        <v>42009</v>
      </c>
      <c r="G61" s="6">
        <v>4.657</v>
      </c>
      <c r="H61" s="9">
        <v>91</v>
      </c>
      <c r="I61" s="10" t="s">
        <v>1052</v>
      </c>
      <c r="J61" s="10" t="s">
        <v>1053</v>
      </c>
      <c r="K61" s="10" t="s">
        <v>1051</v>
      </c>
    </row>
    <row r="62" spans="1:11" x14ac:dyDescent="0.3">
      <c r="A62" s="4" t="s">
        <v>1195</v>
      </c>
      <c r="B62" s="4" t="s">
        <v>1196</v>
      </c>
      <c r="C62" s="4" t="s">
        <v>1537</v>
      </c>
      <c r="D62" s="4" t="s">
        <v>1194</v>
      </c>
      <c r="E62" s="18">
        <v>1505000</v>
      </c>
      <c r="F62" s="5">
        <v>42201</v>
      </c>
      <c r="G62" s="3">
        <v>3.26</v>
      </c>
      <c r="H62" s="9">
        <v>91</v>
      </c>
      <c r="I62" s="10" t="s">
        <v>1052</v>
      </c>
      <c r="J62" s="10" t="s">
        <v>1053</v>
      </c>
      <c r="K62" s="10" t="s">
        <v>1051</v>
      </c>
    </row>
    <row r="63" spans="1:11" x14ac:dyDescent="0.3">
      <c r="A63" s="27" t="s">
        <v>1346</v>
      </c>
      <c r="B63" s="27" t="s">
        <v>1347</v>
      </c>
      <c r="C63" s="27" t="s">
        <v>1348</v>
      </c>
      <c r="D63" s="27" t="s">
        <v>1349</v>
      </c>
      <c r="E63" s="32">
        <v>1549000</v>
      </c>
      <c r="F63" s="28">
        <v>42345</v>
      </c>
      <c r="G63" s="29">
        <v>3.21</v>
      </c>
      <c r="H63" s="30" cm="1">
        <f t="array" ref="H63">_xlfn.IFS(I63="Founder / Owner",IF(ISNUMBER(SEARCH("owner",B63)),80,96),I63="C-Suite",IF(OR(ISNUMBER(SEARCH("ceo",B63)),ISNUMBER(SEARCH("chief executive",B63))),95,91),I63="Managing Director",86,I63="Partner",IF(OR(ISNUMBER(SEARCH("managing partner",B63)),ISNUMBER(SEARCH("general partner",B63))),88,85),I63="VP / Head",_xlfn.IFS(OR(ISNUMBER(SEARCH("vice president",B63)),ISNUMBER(SEARCH("executive vice",B63))),91,ISNUMBER(SEARCH("svp",B63)),77,TRUE,73),I63="Director",IF(ISNUMBER(SEARCH("principal",B63)),72,71),I63="Individual Contributor",32,OR(ISNUMBER(SEARCH("surgeon",B63)),ISNUMBER(SEARCH("physician",B63)),ISNUMBER(SEARCH("doctor",B63)),ISNUMBER(SEARCH("dentist",B63)),ISNUMBER(SEARCH("psychiat",B63)),ISNUMBER(SEARCH("oncolog",B63)),ISNUMBER(SEARCH("neurolog",B63)),ISNUMBER(SEARCH("patholog",B63)),ISNUMBER(SEARCH("medicine",B63)),ISNUMBER(SEARCH("obgyn",B63))),77,OR(ISNUMBER(SEARCH("portfolio manager",B63)),ISNUMBER(SEARCH("wealth advisor",B63))),81,OR(ISNUMBER(SEARCH("lawyer",B63)),ISNUMBER(SEARCH("attorney",B63))),68,ISNUMBER(SEARCH("counsel",B63)),66,ISNUMBER(SEARCH("professor",B63)),63,OR(ISNUMBER(SEARCH("engineer",B63)),ISNUMBER(SEARCH("consultant",B63))),62,ISNUMBER(SEARCH("senior manager",B63)),64,OR(ISNUMBER(SEARCH("realtor",B63)),ISNUMBER(SEARCH("broker",B63)),ISNUMBER(SEARCH("journalist",B63)),ISNUMBER(SEARCH("columnist",B63)),ISNUMBER(SEARCH("trader",B63)),ISNUMBER(SEARCH("actor",B63))),50,TRUE,60)</f>
        <v>91</v>
      </c>
      <c r="I63" s="31" t="str" cm="1">
        <f t="array" ref="I63">_xlfn.LET(_xlpm.p," "&amp;LOWER(SUBSTITUTE(SUBSTITUTE(SUBSTITUTE(B63,",","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63" s="31" t="str" cm="1">
        <f t="array" ref="J63">_xlfn.IFS(H63&gt;=90,"Very High",H63&gt;=80,"High",H63&gt;=56,"Medium",TRUE,"Low")</f>
        <v>Very High</v>
      </c>
      <c r="K63" s="31" t="str" cm="1">
        <f t="array" ref="K63">_xlfn.IFS(OR(ISNUMBER(SEARCH("hospital",C63)),ISNUMBER(SEARCH("health",C63)),ISNUMBER(SEARCH("medical",C63)),ISNUMBER(SEARCH("clinic",C63)),ISNUMBER(SEARCH("nursing",C63)),ISNUMBER(SEARCH("care cent",C63)),ISNUMBER(SEARCH("physician",B63)),ISNUMBER(SEARCH("doctor",B63)),ISNUMBER(SEARCH("dentist",B63)),ISNUMBER(SEARCH("surgeon",B63)),ISNUMBER(SEARCH("psychiat",B63)),ISNUMBER(SEARCH("medicine",B63))),"Healthcare",OR(ISNUMBER(SEARCH("llp",C63)),ISNUMBER(SEARCH("lawyer",B63)),ISNUMBER(SEARCH("attorney",B63)),ISNUMBER(SEARCH("legal",C63)),ISNUMBER(SEARCH("tetrault",C63)),ISNUMBER(SEARCH("morley",C63)),ISNUMBER(SEARCH("blg",C63)),ISNUMBER(SEARCH("lowy",C63)),ISNUMBER(SEARCH("riley",C63)),ISNUMBER(SEARCH("toomath",C63))),"Law",OR(ISNUMBER(SEARCH("reit",C63)),ISNUMBER(SEARCH("properties",C63)),ISNUMBER(SEARCH("realty",C63)),ISNUMBER(SEARCH("realtor",B63)),ISNUMBER(SEARCH("colliers",C63)),ISNUMBER(SEARCH("re/max",C63)),ISNUMBER(SEARCH("quadreal",C63)),ISNUMBER(SEARCH("vic management",C63))),"Real Estate",OR(ISNUMBER(SEARCH("deloitte",C63)),ISNUMBER(SEARCH("kpmg",C63)),ISNUMBER(SEARCH("pwc",C63)),ISNUMBER(SEARCH("consulting",C63)),ISNUMBER(SEARCH("consultant",B63)),ISNUMBER(SEARCH("advisory",C63)),ISNUMBER(SEARCH("philanthropic",C63)),ISNUMBER(SEARCH("argyle",C63)),ISNUMBER(SEARCH("quinn",C63))),"Consulting",OR(ISNUMBER(SEARCH("media",C63)),ISNUMBER(SEARCH("news",C63)),ISNUMBER(SEARCH("radio",C63)),ISNUMBER(SEARCH("film",C63)),ISNUMBER(SEARCH("journalist",B63)),ISNUMBER(SEARCH("columnist",B63)),ISNUMBER(SEARCH("globe",C63)),ISNUMBER(SEARCH("marketing",C63)),ISNUMBER(SEARCH("actor",B63))),"Media",OR(ISNUMBER(SEARCH("rbc",C63)),ISNUMBER(SEARCH("cibc",C63)),ISNUMBER(SEARCH("bmo",C63)),ISNUMBER(SEARCH("scotia",C63)),ISNUMBER(SEARCH("bank",C63)),ISNUMBER(SEARCH("capital",C63)),ISNUMBER(SEARCH("wealth",C63)),ISNUMBER(SEARCH("financial",C63)),ISNUMBER(SEARCH("securities",C63)),ISNUMBER(SEARCH("fidelity",C63)),ISNUMBER(SEARCH("guardian",C63)),ISNUMBER(SEARCH("wealthsimple",C63)),ISNUMBER(SEARCH("credit suisse",C63)),ISNUMBER(SEARCH("tmx",C63)),ISNUMBER(SEARCH("investors",C63)),ISNUMBER(SEARCH("trader",B63))),"Finance",OR(ISNUMBER(SEARCH("ventures",C63)),ISNUMBER(SEARCH("private equity",B63)),ISNUMBER(SEARCH("capital partners",C63))),"Private Equity / VC",OR(ISNUMBER(SEARCH("government",C63)),ISNUMBER(SEARCH("ministry",C63)),ISNUMBER(SEARCH("tribunal",C63)),ISNUMBER(SEARCH("tdsb",C63)),ISNUMBER(SEARCH("public service",C63))),"Government",OR(ISNUMBER(SEARCH("association",C63)),ISNUMBER(SEARCH("institute",C63)),ISNUMBER(SEARCH("foundation",C63))),"Nonprofit",OR(ISNUMBER(SEARCH("software",C63)),ISNUMBER(SEARCH("tech",C63)),ISNUMBER(SEARCH("systems",C63)),ISNUMBER(SEARCH("digital",C63)),ISNUMBER(SEARCH("engineering",C63)),ISNUMBER(SEARCH("solutions",C63))),"Technology",TRUE,"Other")</f>
        <v>Finance</v>
      </c>
    </row>
    <row r="64" spans="1:11" x14ac:dyDescent="0.3">
      <c r="A64" s="4" t="s">
        <v>863</v>
      </c>
      <c r="B64" s="4" t="s">
        <v>864</v>
      </c>
      <c r="C64" s="4" t="s">
        <v>865</v>
      </c>
      <c r="D64" s="4" t="s">
        <v>866</v>
      </c>
      <c r="E64" s="18">
        <v>1550000</v>
      </c>
      <c r="F64" s="5">
        <v>45503</v>
      </c>
      <c r="G64" s="6">
        <v>4.1500000000000004</v>
      </c>
      <c r="H64" s="9">
        <v>91</v>
      </c>
      <c r="I64" s="10" t="s">
        <v>1063</v>
      </c>
      <c r="J64" s="10" t="s">
        <v>1053</v>
      </c>
      <c r="K64" s="10" t="s">
        <v>1067</v>
      </c>
    </row>
    <row r="65" spans="1:11" x14ac:dyDescent="0.3">
      <c r="A65" s="4" t="s">
        <v>850</v>
      </c>
      <c r="B65" s="4" t="s">
        <v>386</v>
      </c>
      <c r="C65" s="4" t="s">
        <v>1494</v>
      </c>
      <c r="D65" s="4" t="s">
        <v>851</v>
      </c>
      <c r="E65" s="18">
        <v>1565000</v>
      </c>
      <c r="F65" s="5">
        <v>41789</v>
      </c>
      <c r="G65" s="6">
        <v>4.04</v>
      </c>
      <c r="H65" s="9">
        <v>91</v>
      </c>
      <c r="I65" s="10" t="s">
        <v>1063</v>
      </c>
      <c r="J65" s="10" t="s">
        <v>1053</v>
      </c>
      <c r="K65" s="10" t="s">
        <v>1054</v>
      </c>
    </row>
    <row r="66" spans="1:11" x14ac:dyDescent="0.3">
      <c r="A66" s="11" t="s">
        <v>854</v>
      </c>
      <c r="B66" s="11" t="s">
        <v>42</v>
      </c>
      <c r="C66" s="11" t="s">
        <v>855</v>
      </c>
      <c r="D66" s="11" t="s">
        <v>856</v>
      </c>
      <c r="E66" s="17">
        <v>1565000</v>
      </c>
      <c r="F66" s="33">
        <v>39051</v>
      </c>
      <c r="G66" s="12">
        <v>4.21</v>
      </c>
      <c r="H66" s="9">
        <v>91</v>
      </c>
      <c r="I66" s="10" t="s">
        <v>1052</v>
      </c>
      <c r="J66" s="10" t="s">
        <v>1053</v>
      </c>
      <c r="K66" s="10" t="s">
        <v>1051</v>
      </c>
    </row>
    <row r="67" spans="1:11" x14ac:dyDescent="0.3">
      <c r="A67" s="4" t="s">
        <v>849</v>
      </c>
      <c r="B67" s="4" t="s">
        <v>386</v>
      </c>
      <c r="C67" s="4" t="s">
        <v>697</v>
      </c>
      <c r="D67" s="4" t="s">
        <v>848</v>
      </c>
      <c r="E67" s="18">
        <v>1575000</v>
      </c>
      <c r="F67" s="5">
        <v>42248</v>
      </c>
      <c r="G67" s="6">
        <v>3.67</v>
      </c>
      <c r="H67" s="9">
        <v>91</v>
      </c>
      <c r="I67" s="10" t="s">
        <v>1063</v>
      </c>
      <c r="J67" s="10" t="s">
        <v>1053</v>
      </c>
      <c r="K67" s="10" t="s">
        <v>1054</v>
      </c>
    </row>
    <row r="68" spans="1:11" x14ac:dyDescent="0.3">
      <c r="A68" s="27" t="s">
        <v>1357</v>
      </c>
      <c r="B68" s="27" t="s">
        <v>1462</v>
      </c>
      <c r="C68" s="27" t="s">
        <v>294</v>
      </c>
      <c r="D68" s="27" t="s">
        <v>1358</v>
      </c>
      <c r="E68" s="32">
        <v>1620000</v>
      </c>
      <c r="F68" s="28">
        <v>40696</v>
      </c>
      <c r="G68" s="29">
        <v>3.19</v>
      </c>
      <c r="H68" s="30" cm="1">
        <f t="array" ref="H68">_xlfn.IFS(I68="Founder / Owner",IF(ISNUMBER(SEARCH("owner",B68)),80,96),I68="C-Suite",IF(OR(ISNUMBER(SEARCH("ceo",B68)),ISNUMBER(SEARCH("chief executive",B68))),95,91),I68="Managing Director",86,I68="Partner",IF(OR(ISNUMBER(SEARCH("managing partner",B68)),ISNUMBER(SEARCH("general partner",B68))),88,85),I68="VP / Head",_xlfn.IFS(OR(ISNUMBER(SEARCH("vice president",B68)),ISNUMBER(SEARCH("executive vice",B68))),91,ISNUMBER(SEARCH("svp",B68)),77,TRUE,73),I68="Director",IF(ISNUMBER(SEARCH("principal",B68)),72,71),I68="Individual Contributor",32,OR(ISNUMBER(SEARCH("surgeon",B68)),ISNUMBER(SEARCH("physician",B68)),ISNUMBER(SEARCH("doctor",B68)),ISNUMBER(SEARCH("dentist",B68)),ISNUMBER(SEARCH("psychiat",B68)),ISNUMBER(SEARCH("oncolog",B68)),ISNUMBER(SEARCH("neurolog",B68)),ISNUMBER(SEARCH("patholog",B68)),ISNUMBER(SEARCH("medicine",B68)),ISNUMBER(SEARCH("obgyn",B68))),77,OR(ISNUMBER(SEARCH("portfolio manager",B68)),ISNUMBER(SEARCH("wealth advisor",B68))),81,OR(ISNUMBER(SEARCH("lawyer",B68)),ISNUMBER(SEARCH("attorney",B68))),68,ISNUMBER(SEARCH("counsel",B68)),66,ISNUMBER(SEARCH("professor",B68)),63,OR(ISNUMBER(SEARCH("engineer",B68)),ISNUMBER(SEARCH("consultant",B68))),62,ISNUMBER(SEARCH("senior manager",B68)),64,OR(ISNUMBER(SEARCH("realtor",B68)),ISNUMBER(SEARCH("broker",B68)),ISNUMBER(SEARCH("journalist",B68)),ISNUMBER(SEARCH("columnist",B68)),ISNUMBER(SEARCH("trader",B68)),ISNUMBER(SEARCH("actor",B68))),50,TRUE,60)</f>
        <v>91</v>
      </c>
      <c r="I68" s="31" t="str" cm="1">
        <f t="array" ref="I68">_xlfn.LET(_xlpm.p," "&amp;LOWER(SUBSTITUTE(SUBSTITUTE(SUBSTITUTE(B68,",","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68" s="31" t="str" cm="1">
        <f t="array" ref="J68">_xlfn.IFS(H68&gt;=90,"Very High",H68&gt;=80,"High",H68&gt;=56,"Medium",TRUE,"Low")</f>
        <v>Very High</v>
      </c>
      <c r="K68" s="31" t="str" cm="1">
        <f t="array" ref="K68">_xlfn.IFS(OR(ISNUMBER(SEARCH("hospital",C68)),ISNUMBER(SEARCH("health",C68)),ISNUMBER(SEARCH("medical",C68)),ISNUMBER(SEARCH("clinic",C68)),ISNUMBER(SEARCH("nursing",C68)),ISNUMBER(SEARCH("care cent",C68)),ISNUMBER(SEARCH("physician",B68)),ISNUMBER(SEARCH("doctor",B68)),ISNUMBER(SEARCH("dentist",B68)),ISNUMBER(SEARCH("surgeon",B68)),ISNUMBER(SEARCH("psychiat",B68)),ISNUMBER(SEARCH("medicine",B68))),"Healthcare",OR(ISNUMBER(SEARCH("llp",C68)),ISNUMBER(SEARCH("lawyer",B68)),ISNUMBER(SEARCH("attorney",B68)),ISNUMBER(SEARCH("legal",C68)),ISNUMBER(SEARCH("tetrault",C68)),ISNUMBER(SEARCH("morley",C68)),ISNUMBER(SEARCH("blg",C68)),ISNUMBER(SEARCH("lowy",C68)),ISNUMBER(SEARCH("riley",C68)),ISNUMBER(SEARCH("toomath",C68))),"Law",OR(ISNUMBER(SEARCH("reit",C68)),ISNUMBER(SEARCH("properties",C68)),ISNUMBER(SEARCH("realty",C68)),ISNUMBER(SEARCH("realtor",B68)),ISNUMBER(SEARCH("colliers",C68)),ISNUMBER(SEARCH("re/max",C68)),ISNUMBER(SEARCH("quadreal",C68)),ISNUMBER(SEARCH("vic management",C68))),"Real Estate",OR(ISNUMBER(SEARCH("deloitte",C68)),ISNUMBER(SEARCH("kpmg",C68)),ISNUMBER(SEARCH("pwc",C68)),ISNUMBER(SEARCH("consulting",C68)),ISNUMBER(SEARCH("consultant",B68)),ISNUMBER(SEARCH("advisory",C68)),ISNUMBER(SEARCH("philanthropic",C68)),ISNUMBER(SEARCH("argyle",C68)),ISNUMBER(SEARCH("quinn",C68))),"Consulting",OR(ISNUMBER(SEARCH("media",C68)),ISNUMBER(SEARCH("news",C68)),ISNUMBER(SEARCH("radio",C68)),ISNUMBER(SEARCH("film",C68)),ISNUMBER(SEARCH("journalist",B68)),ISNUMBER(SEARCH("columnist",B68)),ISNUMBER(SEARCH("globe",C68)),ISNUMBER(SEARCH("marketing",C68)),ISNUMBER(SEARCH("actor",B68))),"Media",OR(ISNUMBER(SEARCH("rbc",C68)),ISNUMBER(SEARCH("cibc",C68)),ISNUMBER(SEARCH("bmo",C68)),ISNUMBER(SEARCH("scotia",C68)),ISNUMBER(SEARCH("bank",C68)),ISNUMBER(SEARCH("capital",C68)),ISNUMBER(SEARCH("wealth",C68)),ISNUMBER(SEARCH("financial",C68)),ISNUMBER(SEARCH("securities",C68)),ISNUMBER(SEARCH("fidelity",C68)),ISNUMBER(SEARCH("guardian",C68)),ISNUMBER(SEARCH("wealthsimple",C68)),ISNUMBER(SEARCH("credit suisse",C68)),ISNUMBER(SEARCH("tmx",C68)),ISNUMBER(SEARCH("investors",C68)),ISNUMBER(SEARCH("trader",B68))),"Finance",OR(ISNUMBER(SEARCH("ventures",C68)),ISNUMBER(SEARCH("private equity",B68)),ISNUMBER(SEARCH("capital partners",C68))),"Private Equity / VC",OR(ISNUMBER(SEARCH("government",C68)),ISNUMBER(SEARCH("ministry",C68)),ISNUMBER(SEARCH("tribunal",C68)),ISNUMBER(SEARCH("tdsb",C68)),ISNUMBER(SEARCH("public service",C68))),"Government",OR(ISNUMBER(SEARCH("association",C68)),ISNUMBER(SEARCH("institute",C68)),ISNUMBER(SEARCH("foundation",C68))),"Nonprofit",OR(ISNUMBER(SEARCH("software",C68)),ISNUMBER(SEARCH("tech",C68)),ISNUMBER(SEARCH("systems",C68)),ISNUMBER(SEARCH("digital",C68)),ISNUMBER(SEARCH("engineering",C68)),ISNUMBER(SEARCH("solutions",C68))),"Technology",TRUE,"Other")</f>
        <v>Finance</v>
      </c>
    </row>
    <row r="69" spans="1:11" x14ac:dyDescent="0.3">
      <c r="A69" s="4" t="s">
        <v>834</v>
      </c>
      <c r="B69" s="4" t="s">
        <v>835</v>
      </c>
      <c r="C69" s="4" t="s">
        <v>836</v>
      </c>
      <c r="D69" s="4" t="s">
        <v>837</v>
      </c>
      <c r="E69" s="18">
        <v>1620000</v>
      </c>
      <c r="F69" s="5">
        <v>41759</v>
      </c>
      <c r="G69" s="6">
        <v>4.22</v>
      </c>
      <c r="H69" s="9">
        <v>91</v>
      </c>
      <c r="I69" s="10" t="s">
        <v>1052</v>
      </c>
      <c r="J69" s="10" t="s">
        <v>1053</v>
      </c>
      <c r="K69" s="10" t="s">
        <v>1054</v>
      </c>
    </row>
    <row r="70" spans="1:11" x14ac:dyDescent="0.3">
      <c r="A70" s="11" t="s">
        <v>152</v>
      </c>
      <c r="B70" s="11" t="s">
        <v>11</v>
      </c>
      <c r="C70" s="11" t="s">
        <v>301</v>
      </c>
      <c r="D70" s="11" t="s">
        <v>153</v>
      </c>
      <c r="E70" s="17">
        <v>1630000</v>
      </c>
      <c r="F70" s="33">
        <v>44512</v>
      </c>
      <c r="G70" s="12">
        <v>4.7220000000000004</v>
      </c>
      <c r="H70" s="9">
        <v>91</v>
      </c>
      <c r="I70" s="10" t="s">
        <v>1052</v>
      </c>
      <c r="J70" s="10" t="s">
        <v>1053</v>
      </c>
      <c r="K70" s="10" t="s">
        <v>1051</v>
      </c>
    </row>
    <row r="71" spans="1:11" x14ac:dyDescent="0.3">
      <c r="A71" s="4" t="s">
        <v>815</v>
      </c>
      <c r="B71" s="4" t="s">
        <v>11</v>
      </c>
      <c r="C71" s="4" t="s">
        <v>816</v>
      </c>
      <c r="D71" s="4" t="s">
        <v>817</v>
      </c>
      <c r="E71" s="18">
        <v>1700000</v>
      </c>
      <c r="F71" s="5">
        <v>41087</v>
      </c>
      <c r="G71" s="6">
        <v>3.9</v>
      </c>
      <c r="H71" s="9">
        <v>91</v>
      </c>
      <c r="I71" s="10" t="s">
        <v>1052</v>
      </c>
      <c r="J71" s="10" t="s">
        <v>1053</v>
      </c>
      <c r="K71" s="10" t="s">
        <v>1065</v>
      </c>
    </row>
    <row r="72" spans="1:11" x14ac:dyDescent="0.3">
      <c r="A72" s="11" t="s">
        <v>18</v>
      </c>
      <c r="B72" s="11" t="s">
        <v>19</v>
      </c>
      <c r="C72" s="11" t="s">
        <v>20</v>
      </c>
      <c r="D72" s="11" t="s">
        <v>21</v>
      </c>
      <c r="E72" s="17">
        <v>1950000</v>
      </c>
      <c r="F72" s="33">
        <v>41484</v>
      </c>
      <c r="G72" s="12">
        <v>2.8540000000000001</v>
      </c>
      <c r="H72" s="9">
        <v>91</v>
      </c>
      <c r="I72" s="10" t="s">
        <v>1052</v>
      </c>
      <c r="J72" s="10" t="s">
        <v>1053</v>
      </c>
      <c r="K72" s="10" t="s">
        <v>1064</v>
      </c>
    </row>
    <row r="73" spans="1:11" x14ac:dyDescent="0.3">
      <c r="A73" s="11" t="s">
        <v>758</v>
      </c>
      <c r="B73" s="11" t="s">
        <v>759</v>
      </c>
      <c r="C73" s="11" t="s">
        <v>760</v>
      </c>
      <c r="D73" s="11" t="s">
        <v>761</v>
      </c>
      <c r="E73" s="17">
        <v>1960000</v>
      </c>
      <c r="F73" s="33">
        <v>40718</v>
      </c>
      <c r="G73" s="12">
        <v>3.93</v>
      </c>
      <c r="H73" s="9">
        <v>91</v>
      </c>
      <c r="I73" s="10" t="s">
        <v>1052</v>
      </c>
      <c r="J73" s="10" t="s">
        <v>1053</v>
      </c>
      <c r="K73" s="10" t="s">
        <v>1051</v>
      </c>
    </row>
    <row r="74" spans="1:11" x14ac:dyDescent="0.3">
      <c r="A74" s="4" t="s">
        <v>1173</v>
      </c>
      <c r="B74" s="4" t="s">
        <v>1174</v>
      </c>
      <c r="C74" s="4" t="s">
        <v>1175</v>
      </c>
      <c r="D74" s="4" t="s">
        <v>1176</v>
      </c>
      <c r="E74" s="18">
        <v>2000000</v>
      </c>
      <c r="F74" s="5">
        <v>43805</v>
      </c>
      <c r="G74" s="6">
        <v>3.24</v>
      </c>
      <c r="H74" s="9">
        <v>91</v>
      </c>
      <c r="I74" s="10" t="s">
        <v>1052</v>
      </c>
      <c r="J74" s="10" t="s">
        <v>1053</v>
      </c>
      <c r="K74" s="10" t="s">
        <v>1054</v>
      </c>
    </row>
    <row r="75" spans="1:11" x14ac:dyDescent="0.3">
      <c r="A75" s="4" t="s">
        <v>53</v>
      </c>
      <c r="B75" s="4" t="s">
        <v>54</v>
      </c>
      <c r="C75" s="4" t="s">
        <v>55</v>
      </c>
      <c r="D75" s="4" t="s">
        <v>56</v>
      </c>
      <c r="E75" s="18">
        <v>2153000</v>
      </c>
      <c r="F75" s="5">
        <v>42907</v>
      </c>
      <c r="G75" s="6">
        <v>2.931</v>
      </c>
      <c r="H75" s="9">
        <v>91</v>
      </c>
      <c r="I75" s="10" t="s">
        <v>1063</v>
      </c>
      <c r="J75" s="10" t="s">
        <v>1053</v>
      </c>
      <c r="K75" s="10" t="s">
        <v>1054</v>
      </c>
    </row>
    <row r="76" spans="1:11" x14ac:dyDescent="0.3">
      <c r="A76" s="4" t="s">
        <v>6</v>
      </c>
      <c r="B76" s="4" t="s">
        <v>7</v>
      </c>
      <c r="C76" s="4" t="s">
        <v>8</v>
      </c>
      <c r="D76" s="4" t="s">
        <v>9</v>
      </c>
      <c r="E76" s="18">
        <v>2199000</v>
      </c>
      <c r="F76" s="5">
        <v>43069</v>
      </c>
      <c r="G76" s="3">
        <v>4.7130000000000001</v>
      </c>
      <c r="H76" s="9">
        <v>91</v>
      </c>
      <c r="I76" s="10" t="s">
        <v>1052</v>
      </c>
      <c r="J76" s="10" t="s">
        <v>1053</v>
      </c>
      <c r="K76" s="10" t="s">
        <v>1051</v>
      </c>
    </row>
    <row r="77" spans="1:11" x14ac:dyDescent="0.3">
      <c r="A77" s="27" t="s">
        <v>1444</v>
      </c>
      <c r="B77" s="27" t="s">
        <v>1459</v>
      </c>
      <c r="C77" s="27" t="s">
        <v>467</v>
      </c>
      <c r="D77" s="27" t="s">
        <v>1445</v>
      </c>
      <c r="E77" s="32">
        <v>2200000</v>
      </c>
      <c r="F77" s="28">
        <v>45224</v>
      </c>
      <c r="G77" s="29">
        <v>3.1</v>
      </c>
      <c r="H77" s="30" cm="1">
        <f t="array" ref="H77">_xlfn.IFS(I77="Founder / Owner",IF(ISNUMBER(SEARCH("owner",B77)),80,96),I77="C-Suite",IF(OR(ISNUMBER(SEARCH("ceo",B77)),ISNUMBER(SEARCH("chief executive",B77))),95,91),I77="Managing Director",86,I77="Partner",IF(OR(ISNUMBER(SEARCH("managing partner",B77)),ISNUMBER(SEARCH("general partner",B77))),88,85),I77="VP / Head",_xlfn.IFS(OR(ISNUMBER(SEARCH("vice president",B77)),ISNUMBER(SEARCH("executive vice",B77))),91,ISNUMBER(SEARCH("svp",B77)),77,TRUE,73),I77="Director",IF(ISNUMBER(SEARCH("principal",B77)),72,71),I77="Individual Contributor",32,OR(ISNUMBER(SEARCH("surgeon",B77)),ISNUMBER(SEARCH("physician",B77)),ISNUMBER(SEARCH("doctor",B77)),ISNUMBER(SEARCH("dentist",B77)),ISNUMBER(SEARCH("psychiat",B77)),ISNUMBER(SEARCH("oncolog",B77)),ISNUMBER(SEARCH("neurolog",B77)),ISNUMBER(SEARCH("patholog",B77)),ISNUMBER(SEARCH("medicine",B77)),ISNUMBER(SEARCH("obgyn",B77))),77,OR(ISNUMBER(SEARCH("portfolio manager",B77)),ISNUMBER(SEARCH("wealth advisor",B77))),81,OR(ISNUMBER(SEARCH("lawyer",B77)),ISNUMBER(SEARCH("attorney",B77))),68,ISNUMBER(SEARCH("counsel",B77)),66,ISNUMBER(SEARCH("professor",B77)),63,OR(ISNUMBER(SEARCH("engineer",B77)),ISNUMBER(SEARCH("consultant",B77))),62,ISNUMBER(SEARCH("senior manager",B77)),64,OR(ISNUMBER(SEARCH("realtor",B77)),ISNUMBER(SEARCH("broker",B77)),ISNUMBER(SEARCH("journalist",B77)),ISNUMBER(SEARCH("columnist",B77)),ISNUMBER(SEARCH("trader",B77)),ISNUMBER(SEARCH("actor",B77))),50,TRUE,60)</f>
        <v>91</v>
      </c>
      <c r="I77" s="31" t="str" cm="1">
        <f t="array" ref="I77">_xlfn.LET(_xlpm.p," "&amp;LOWER(SUBSTITUTE(SUBSTITUTE(SUBSTITUTE(B77,",","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7" s="31" t="str" cm="1">
        <f t="array" ref="J77">_xlfn.IFS(H77&gt;=90,"Very High",H77&gt;=80,"High",H77&gt;=56,"Medium",TRUE,"Low")</f>
        <v>Very High</v>
      </c>
      <c r="K77" s="31" t="str" cm="1">
        <f t="array" ref="K77">_xlfn.IFS(OR(ISNUMBER(SEARCH("hospital",C77)),ISNUMBER(SEARCH("health",C77)),ISNUMBER(SEARCH("medical",C77)),ISNUMBER(SEARCH("clinic",C77)),ISNUMBER(SEARCH("nursing",C77)),ISNUMBER(SEARCH("care cent",C77)),ISNUMBER(SEARCH("physician",B77)),ISNUMBER(SEARCH("doctor",B77)),ISNUMBER(SEARCH("dentist",B77)),ISNUMBER(SEARCH("surgeon",B77)),ISNUMBER(SEARCH("psychiat",B77)),ISNUMBER(SEARCH("medicine",B77))),"Healthcare",OR(ISNUMBER(SEARCH("llp",C77)),ISNUMBER(SEARCH("lawyer",B77)),ISNUMBER(SEARCH("attorney",B77)),ISNUMBER(SEARCH("legal",C77)),ISNUMBER(SEARCH("tetrault",C77)),ISNUMBER(SEARCH("morley",C77)),ISNUMBER(SEARCH("blg",C77)),ISNUMBER(SEARCH("lowy",C77)),ISNUMBER(SEARCH("riley",C77)),ISNUMBER(SEARCH("toomath",C77))),"Law",OR(ISNUMBER(SEARCH("reit",C77)),ISNUMBER(SEARCH("properties",C77)),ISNUMBER(SEARCH("realty",C77)),ISNUMBER(SEARCH("realtor",B77)),ISNUMBER(SEARCH("colliers",C77)),ISNUMBER(SEARCH("re/max",C77)),ISNUMBER(SEARCH("quadreal",C77)),ISNUMBER(SEARCH("vic management",C77))),"Real Estate",OR(ISNUMBER(SEARCH("deloitte",C77)),ISNUMBER(SEARCH("kpmg",C77)),ISNUMBER(SEARCH("pwc",C77)),ISNUMBER(SEARCH("consulting",C77)),ISNUMBER(SEARCH("consultant",B77)),ISNUMBER(SEARCH("advisory",C77)),ISNUMBER(SEARCH("philanthropic",C77)),ISNUMBER(SEARCH("argyle",C77)),ISNUMBER(SEARCH("quinn",C77))),"Consulting",OR(ISNUMBER(SEARCH("media",C77)),ISNUMBER(SEARCH("news",C77)),ISNUMBER(SEARCH("radio",C77)),ISNUMBER(SEARCH("film",C77)),ISNUMBER(SEARCH("journalist",B77)),ISNUMBER(SEARCH("columnist",B77)),ISNUMBER(SEARCH("globe",C77)),ISNUMBER(SEARCH("marketing",C77)),ISNUMBER(SEARCH("actor",B77))),"Media",OR(ISNUMBER(SEARCH("rbc",C77)),ISNUMBER(SEARCH("cibc",C77)),ISNUMBER(SEARCH("bmo",C77)),ISNUMBER(SEARCH("scotia",C77)),ISNUMBER(SEARCH("bank",C77)),ISNUMBER(SEARCH("capital",C77)),ISNUMBER(SEARCH("wealth",C77)),ISNUMBER(SEARCH("financial",C77)),ISNUMBER(SEARCH("securities",C77)),ISNUMBER(SEARCH("fidelity",C77)),ISNUMBER(SEARCH("guardian",C77)),ISNUMBER(SEARCH("wealthsimple",C77)),ISNUMBER(SEARCH("credit suisse",C77)),ISNUMBER(SEARCH("tmx",C77)),ISNUMBER(SEARCH("investors",C77)),ISNUMBER(SEARCH("trader",B77))),"Finance",OR(ISNUMBER(SEARCH("ventures",C77)),ISNUMBER(SEARCH("private equity",B77)),ISNUMBER(SEARCH("capital partners",C77))),"Private Equity / VC",OR(ISNUMBER(SEARCH("government",C77)),ISNUMBER(SEARCH("ministry",C77)),ISNUMBER(SEARCH("tribunal",C77)),ISNUMBER(SEARCH("tdsb",C77)),ISNUMBER(SEARCH("public service",C77))),"Government",OR(ISNUMBER(SEARCH("association",C77)),ISNUMBER(SEARCH("institute",C77)),ISNUMBER(SEARCH("foundation",C77))),"Nonprofit",OR(ISNUMBER(SEARCH("software",C77)),ISNUMBER(SEARCH("tech",C77)),ISNUMBER(SEARCH("systems",C77)),ISNUMBER(SEARCH("digital",C77)),ISNUMBER(SEARCH("engineering",C77)),ISNUMBER(SEARCH("solutions",C77))),"Technology",TRUE,"Other")</f>
        <v>Healthcare</v>
      </c>
    </row>
    <row r="78" spans="1:11" x14ac:dyDescent="0.3">
      <c r="A78" s="4" t="s">
        <v>1163</v>
      </c>
      <c r="B78" s="4" t="s">
        <v>42</v>
      </c>
      <c r="C78" s="4" t="s">
        <v>1164</v>
      </c>
      <c r="D78" s="4" t="s">
        <v>1162</v>
      </c>
      <c r="E78" s="18">
        <v>2200000</v>
      </c>
      <c r="F78" s="5">
        <v>42614</v>
      </c>
      <c r="G78" s="6">
        <v>3.27</v>
      </c>
      <c r="H78" s="9">
        <v>91</v>
      </c>
      <c r="I78" s="10" t="s">
        <v>1052</v>
      </c>
      <c r="J78" s="10" t="s">
        <v>1053</v>
      </c>
      <c r="K78" s="10" t="s">
        <v>1054</v>
      </c>
    </row>
    <row r="79" spans="1:11" x14ac:dyDescent="0.3">
      <c r="A79" s="4" t="s">
        <v>1153</v>
      </c>
      <c r="B79" s="4" t="s">
        <v>1154</v>
      </c>
      <c r="C79" s="4" t="s">
        <v>1155</v>
      </c>
      <c r="D79" s="4" t="s">
        <v>1156</v>
      </c>
      <c r="E79" s="18">
        <v>2250000</v>
      </c>
      <c r="F79" s="5">
        <v>42717</v>
      </c>
      <c r="G79" s="6">
        <v>3.4</v>
      </c>
      <c r="H79" s="9">
        <v>91</v>
      </c>
      <c r="I79" s="10" t="s">
        <v>1063</v>
      </c>
      <c r="J79" s="10" t="s">
        <v>1053</v>
      </c>
      <c r="K79" s="10" t="s">
        <v>1062</v>
      </c>
    </row>
    <row r="80" spans="1:11" x14ac:dyDescent="0.3">
      <c r="A80" s="4" t="s">
        <v>678</v>
      </c>
      <c r="B80" s="4" t="s">
        <v>11</v>
      </c>
      <c r="C80" s="4" t="s">
        <v>679</v>
      </c>
      <c r="D80" s="4" t="s">
        <v>680</v>
      </c>
      <c r="E80" s="18">
        <v>2350000</v>
      </c>
      <c r="F80" s="5">
        <v>41872</v>
      </c>
      <c r="G80" s="3">
        <v>3.88</v>
      </c>
      <c r="H80" s="9">
        <v>91</v>
      </c>
      <c r="I80" s="10" t="s">
        <v>1052</v>
      </c>
      <c r="J80" s="10" t="s">
        <v>1053</v>
      </c>
      <c r="K80" s="10" t="s">
        <v>1051</v>
      </c>
    </row>
    <row r="81" spans="1:11" x14ac:dyDescent="0.3">
      <c r="A81" s="11" t="s">
        <v>670</v>
      </c>
      <c r="B81" s="11" t="s">
        <v>671</v>
      </c>
      <c r="C81" s="11" t="s">
        <v>672</v>
      </c>
      <c r="D81" s="11" t="s">
        <v>669</v>
      </c>
      <c r="E81" s="17">
        <v>2385000</v>
      </c>
      <c r="F81" s="33">
        <v>45420</v>
      </c>
      <c r="G81" s="12">
        <v>3.99</v>
      </c>
      <c r="H81" s="9">
        <v>91</v>
      </c>
      <c r="I81" s="10" t="s">
        <v>1052</v>
      </c>
      <c r="J81" s="10" t="s">
        <v>1053</v>
      </c>
      <c r="K81" s="10" t="s">
        <v>1067</v>
      </c>
    </row>
    <row r="82" spans="1:11" x14ac:dyDescent="0.3">
      <c r="A82" s="4" t="s">
        <v>642</v>
      </c>
      <c r="B82" s="4" t="s">
        <v>11</v>
      </c>
      <c r="C82" s="4" t="s">
        <v>643</v>
      </c>
      <c r="D82" s="4" t="s">
        <v>644</v>
      </c>
      <c r="E82" s="18">
        <v>2420000</v>
      </c>
      <c r="F82" s="5">
        <v>40717</v>
      </c>
      <c r="G82" s="6">
        <v>3.72</v>
      </c>
      <c r="H82" s="9">
        <v>91</v>
      </c>
      <c r="I82" s="10" t="s">
        <v>1052</v>
      </c>
      <c r="J82" s="10" t="s">
        <v>1053</v>
      </c>
      <c r="K82" s="10" t="s">
        <v>1051</v>
      </c>
    </row>
    <row r="83" spans="1:11" x14ac:dyDescent="0.3">
      <c r="A83" s="27" t="s">
        <v>1299</v>
      </c>
      <c r="B83" s="27" t="s">
        <v>11</v>
      </c>
      <c r="C83" s="27" t="s">
        <v>1300</v>
      </c>
      <c r="D83" s="27" t="s">
        <v>1301</v>
      </c>
      <c r="E83" s="32">
        <v>2500000</v>
      </c>
      <c r="F83" s="28">
        <v>40225</v>
      </c>
      <c r="G83" s="29">
        <v>3.2</v>
      </c>
      <c r="H83" s="30" cm="1">
        <f t="array" ref="H83">_xlfn.IFS(I83="Founder / Owner",IF(ISNUMBER(SEARCH("owner",B83)),80,96),I83="C-Suite",IF(OR(ISNUMBER(SEARCH("ceo",B83)),ISNUMBER(SEARCH("chief executive",B83))),95,91),I83="Managing Director",86,I83="Partner",IF(OR(ISNUMBER(SEARCH("managing partner",B83)),ISNUMBER(SEARCH("general partner",B83))),88,85),I83="VP / Head",_xlfn.IFS(OR(ISNUMBER(SEARCH("vice president",B83)),ISNUMBER(SEARCH("executive vice",B83))),91,ISNUMBER(SEARCH("svp",B83)),77,TRUE,73),I83="Director",IF(ISNUMBER(SEARCH("principal",B83)),72,71),I83="Individual Contributor",32,OR(ISNUMBER(SEARCH("surgeon",B83)),ISNUMBER(SEARCH("physician",B83)),ISNUMBER(SEARCH("doctor",B83)),ISNUMBER(SEARCH("dentist",B83)),ISNUMBER(SEARCH("psychiat",B83)),ISNUMBER(SEARCH("oncolog",B83)),ISNUMBER(SEARCH("neurolog",B83)),ISNUMBER(SEARCH("patholog",B83)),ISNUMBER(SEARCH("medicine",B83)),ISNUMBER(SEARCH("obgyn",B83))),77,OR(ISNUMBER(SEARCH("portfolio manager",B83)),ISNUMBER(SEARCH("wealth advisor",B83))),81,OR(ISNUMBER(SEARCH("lawyer",B83)),ISNUMBER(SEARCH("attorney",B83))),68,ISNUMBER(SEARCH("counsel",B83)),66,ISNUMBER(SEARCH("professor",B83)),63,OR(ISNUMBER(SEARCH("engineer",B83)),ISNUMBER(SEARCH("consultant",B83))),62,ISNUMBER(SEARCH("senior manager",B83)),64,OR(ISNUMBER(SEARCH("realtor",B83)),ISNUMBER(SEARCH("broker",B83)),ISNUMBER(SEARCH("journalist",B83)),ISNUMBER(SEARCH("columnist",B83)),ISNUMBER(SEARCH("trader",B83)),ISNUMBER(SEARCH("actor",B83))),50,TRUE,60)</f>
        <v>91</v>
      </c>
      <c r="I83" s="31" t="str" cm="1">
        <f t="array" ref="I83">_xlfn.LET(_xlpm.p," "&amp;LOWER(SUBSTITUTE(SUBSTITUTE(SUBSTITUTE(B83,",","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83" s="31" t="str" cm="1">
        <f t="array" ref="J83">_xlfn.IFS(H83&gt;=90,"Very High",H83&gt;=80,"High",H83&gt;=56,"Medium",TRUE,"Low")</f>
        <v>Very High</v>
      </c>
      <c r="K83" s="31" t="str" cm="1">
        <f t="array" ref="K83">_xlfn.IFS(OR(ISNUMBER(SEARCH("hospital",C83)),ISNUMBER(SEARCH("health",C83)),ISNUMBER(SEARCH("medical",C83)),ISNUMBER(SEARCH("clinic",C83)),ISNUMBER(SEARCH("nursing",C83)),ISNUMBER(SEARCH("care cent",C83)),ISNUMBER(SEARCH("physician",B83)),ISNUMBER(SEARCH("doctor",B83)),ISNUMBER(SEARCH("dentist",B83)),ISNUMBER(SEARCH("surgeon",B83)),ISNUMBER(SEARCH("psychiat",B83)),ISNUMBER(SEARCH("medicine",B83))),"Healthcare",OR(ISNUMBER(SEARCH("llp",C83)),ISNUMBER(SEARCH("lawyer",B83)),ISNUMBER(SEARCH("attorney",B83)),ISNUMBER(SEARCH("legal",C83)),ISNUMBER(SEARCH("tetrault",C83)),ISNUMBER(SEARCH("morley",C83)),ISNUMBER(SEARCH("blg",C83)),ISNUMBER(SEARCH("lowy",C83)),ISNUMBER(SEARCH("riley",C83)),ISNUMBER(SEARCH("toomath",C83))),"Law",OR(ISNUMBER(SEARCH("reit",C83)),ISNUMBER(SEARCH("properties",C83)),ISNUMBER(SEARCH("realty",C83)),ISNUMBER(SEARCH("realtor",B83)),ISNUMBER(SEARCH("colliers",C83)),ISNUMBER(SEARCH("re/max",C83)),ISNUMBER(SEARCH("quadreal",C83)),ISNUMBER(SEARCH("vic management",C83))),"Real Estate",OR(ISNUMBER(SEARCH("deloitte",C83)),ISNUMBER(SEARCH("kpmg",C83)),ISNUMBER(SEARCH("pwc",C83)),ISNUMBER(SEARCH("consulting",C83)),ISNUMBER(SEARCH("consultant",B83)),ISNUMBER(SEARCH("advisory",C83)),ISNUMBER(SEARCH("philanthropic",C83)),ISNUMBER(SEARCH("argyle",C83)),ISNUMBER(SEARCH("quinn",C83))),"Consulting",OR(ISNUMBER(SEARCH("media",C83)),ISNUMBER(SEARCH("news",C83)),ISNUMBER(SEARCH("radio",C83)),ISNUMBER(SEARCH("film",C83)),ISNUMBER(SEARCH("journalist",B83)),ISNUMBER(SEARCH("columnist",B83)),ISNUMBER(SEARCH("globe",C83)),ISNUMBER(SEARCH("marketing",C83)),ISNUMBER(SEARCH("actor",B83))),"Media",OR(ISNUMBER(SEARCH("rbc",C83)),ISNUMBER(SEARCH("cibc",C83)),ISNUMBER(SEARCH("bmo",C83)),ISNUMBER(SEARCH("scotia",C83)),ISNUMBER(SEARCH("bank",C83)),ISNUMBER(SEARCH("capital",C83)),ISNUMBER(SEARCH("wealth",C83)),ISNUMBER(SEARCH("financial",C83)),ISNUMBER(SEARCH("securities",C83)),ISNUMBER(SEARCH("fidelity",C83)),ISNUMBER(SEARCH("guardian",C83)),ISNUMBER(SEARCH("wealthsimple",C83)),ISNUMBER(SEARCH("credit suisse",C83)),ISNUMBER(SEARCH("tmx",C83)),ISNUMBER(SEARCH("investors",C83)),ISNUMBER(SEARCH("trader",B83))),"Finance",OR(ISNUMBER(SEARCH("ventures",C83)),ISNUMBER(SEARCH("private equity",B83)),ISNUMBER(SEARCH("capital partners",C83))),"Private Equity / VC",OR(ISNUMBER(SEARCH("government",C83)),ISNUMBER(SEARCH("ministry",C83)),ISNUMBER(SEARCH("tribunal",C83)),ISNUMBER(SEARCH("tdsb",C83)),ISNUMBER(SEARCH("public service",C83))),"Government",OR(ISNUMBER(SEARCH("association",C83)),ISNUMBER(SEARCH("institute",C83)),ISNUMBER(SEARCH("foundation",C83))),"Nonprofit",OR(ISNUMBER(SEARCH("software",C83)),ISNUMBER(SEARCH("tech",C83)),ISNUMBER(SEARCH("systems",C83)),ISNUMBER(SEARCH("digital",C83)),ISNUMBER(SEARCH("engineering",C83)),ISNUMBER(SEARCH("solutions",C83))),"Technology",TRUE,"Other")</f>
        <v>Other</v>
      </c>
    </row>
    <row r="84" spans="1:11" x14ac:dyDescent="0.3">
      <c r="A84" s="4" t="s">
        <v>598</v>
      </c>
      <c r="B84" s="4" t="s">
        <v>599</v>
      </c>
      <c r="C84" s="4" t="s">
        <v>600</v>
      </c>
      <c r="D84" s="4" t="s">
        <v>601</v>
      </c>
      <c r="E84" s="18">
        <v>2735000</v>
      </c>
      <c r="F84" s="5">
        <v>41913</v>
      </c>
      <c r="G84" s="6">
        <v>3.73</v>
      </c>
      <c r="H84" s="9">
        <v>91</v>
      </c>
      <c r="I84" s="10" t="s">
        <v>1052</v>
      </c>
      <c r="J84" s="10" t="s">
        <v>1053</v>
      </c>
      <c r="K84" s="10" t="s">
        <v>1064</v>
      </c>
    </row>
    <row r="85" spans="1:11" x14ac:dyDescent="0.3">
      <c r="A85" s="7" t="s">
        <v>596</v>
      </c>
      <c r="B85" s="7" t="s">
        <v>386</v>
      </c>
      <c r="C85" s="7" t="s">
        <v>597</v>
      </c>
      <c r="D85" s="7" t="s">
        <v>595</v>
      </c>
      <c r="E85" s="16">
        <v>2750000</v>
      </c>
      <c r="F85" s="34">
        <v>43913</v>
      </c>
      <c r="G85" s="3">
        <v>4.25</v>
      </c>
      <c r="H85" s="9">
        <v>91</v>
      </c>
      <c r="I85" s="10" t="s">
        <v>1063</v>
      </c>
      <c r="J85" s="10" t="s">
        <v>1053</v>
      </c>
      <c r="K85" s="10" t="s">
        <v>1054</v>
      </c>
    </row>
    <row r="86" spans="1:11" x14ac:dyDescent="0.3">
      <c r="A86" s="4" t="s">
        <v>577</v>
      </c>
      <c r="B86" s="4" t="s">
        <v>42</v>
      </c>
      <c r="C86" s="4" t="s">
        <v>578</v>
      </c>
      <c r="D86" s="4" t="s">
        <v>579</v>
      </c>
      <c r="E86" s="18">
        <v>2850000</v>
      </c>
      <c r="F86" s="5">
        <v>45670</v>
      </c>
      <c r="G86" s="6">
        <v>4.2</v>
      </c>
      <c r="H86" s="9">
        <v>91</v>
      </c>
      <c r="I86" s="10" t="s">
        <v>1052</v>
      </c>
      <c r="J86" s="10" t="s">
        <v>1053</v>
      </c>
      <c r="K86" s="10" t="s">
        <v>1062</v>
      </c>
    </row>
    <row r="87" spans="1:11" x14ac:dyDescent="0.3">
      <c r="A87" s="11" t="s">
        <v>1127</v>
      </c>
      <c r="B87" s="11" t="s">
        <v>1069</v>
      </c>
      <c r="C87" s="11" t="s">
        <v>1128</v>
      </c>
      <c r="D87" s="11" t="s">
        <v>1129</v>
      </c>
      <c r="E87" s="17">
        <v>2922000</v>
      </c>
      <c r="F87" s="33">
        <v>45531</v>
      </c>
      <c r="G87" s="12">
        <v>3.33</v>
      </c>
      <c r="H87" s="9">
        <v>91</v>
      </c>
      <c r="I87" s="10" t="s">
        <v>1063</v>
      </c>
      <c r="J87" s="10" t="s">
        <v>1053</v>
      </c>
      <c r="K87" s="10" t="s">
        <v>1059</v>
      </c>
    </row>
    <row r="88" spans="1:11" x14ac:dyDescent="0.3">
      <c r="A88" s="4" t="s">
        <v>559</v>
      </c>
      <c r="B88" s="4" t="s">
        <v>386</v>
      </c>
      <c r="C88" s="4" t="s">
        <v>1545</v>
      </c>
      <c r="D88" s="4" t="s">
        <v>560</v>
      </c>
      <c r="E88" s="18">
        <v>3000000</v>
      </c>
      <c r="F88" s="5">
        <v>36700</v>
      </c>
      <c r="G88" s="6">
        <v>4.08</v>
      </c>
      <c r="H88" s="9">
        <v>91</v>
      </c>
      <c r="I88" s="10" t="s">
        <v>1063</v>
      </c>
      <c r="J88" s="10" t="s">
        <v>1053</v>
      </c>
      <c r="K88" s="10" t="s">
        <v>1054</v>
      </c>
    </row>
    <row r="89" spans="1:11" x14ac:dyDescent="0.3">
      <c r="A89" s="4" t="s">
        <v>561</v>
      </c>
      <c r="B89" s="4" t="s">
        <v>1077</v>
      </c>
      <c r="C89" s="4" t="s">
        <v>1078</v>
      </c>
      <c r="D89" s="4" t="s">
        <v>560</v>
      </c>
      <c r="E89" s="18">
        <v>3000000</v>
      </c>
      <c r="F89" s="5">
        <v>36700</v>
      </c>
      <c r="G89" s="6">
        <v>4.08</v>
      </c>
      <c r="H89" s="9">
        <v>91</v>
      </c>
      <c r="I89" s="10" t="s">
        <v>1052</v>
      </c>
      <c r="J89" s="10" t="s">
        <v>1053</v>
      </c>
      <c r="K89" s="10" t="s">
        <v>1068</v>
      </c>
    </row>
    <row r="90" spans="1:11" x14ac:dyDescent="0.3">
      <c r="A90" s="4" t="s">
        <v>256</v>
      </c>
      <c r="B90" s="4" t="s">
        <v>11</v>
      </c>
      <c r="C90" s="4" t="s">
        <v>257</v>
      </c>
      <c r="D90" s="4" t="s">
        <v>258</v>
      </c>
      <c r="E90" s="18">
        <v>3050000</v>
      </c>
      <c r="F90" s="5">
        <v>44769</v>
      </c>
      <c r="G90" s="6">
        <v>4.5679999999999996</v>
      </c>
      <c r="H90" s="9">
        <v>91</v>
      </c>
      <c r="I90" s="10" t="s">
        <v>1052</v>
      </c>
      <c r="J90" s="10" t="s">
        <v>1053</v>
      </c>
      <c r="K90" s="10" t="s">
        <v>1051</v>
      </c>
    </row>
    <row r="91" spans="1:11" x14ac:dyDescent="0.3">
      <c r="A91" s="27" t="s">
        <v>1327</v>
      </c>
      <c r="B91" s="27" t="s">
        <v>918</v>
      </c>
      <c r="C91" s="27" t="s">
        <v>1451</v>
      </c>
      <c r="D91" s="27" t="s">
        <v>1328</v>
      </c>
      <c r="E91" s="32">
        <v>3300000</v>
      </c>
      <c r="F91" s="28">
        <v>45279</v>
      </c>
      <c r="G91" s="29">
        <v>3.22</v>
      </c>
      <c r="H91" s="30" cm="1">
        <f t="array" ref="H91">_xlfn.IFS(I91="Founder / Owner",IF(ISNUMBER(SEARCH("owner",B91)),80,96),I91="C-Suite",IF(OR(ISNUMBER(SEARCH("ceo",B91)),ISNUMBER(SEARCH("chief executive",B91))),95,91),I91="Managing Director",86,I91="Partner",IF(OR(ISNUMBER(SEARCH("managing partner",B91)),ISNUMBER(SEARCH("general partner",B91))),88,85),I91="VP / Head",_xlfn.IFS(OR(ISNUMBER(SEARCH("vice president",B91)),ISNUMBER(SEARCH("executive vice",B91))),91,ISNUMBER(SEARCH("svp",B91)),77,TRUE,73),I91="Director",IF(ISNUMBER(SEARCH("principal",B91)),72,71),I91="Individual Contributor",32,OR(ISNUMBER(SEARCH("surgeon",B91)),ISNUMBER(SEARCH("physician",B91)),ISNUMBER(SEARCH("doctor",B91)),ISNUMBER(SEARCH("dentist",B91)),ISNUMBER(SEARCH("psychiat",B91)),ISNUMBER(SEARCH("oncolog",B91)),ISNUMBER(SEARCH("neurolog",B91)),ISNUMBER(SEARCH("patholog",B91)),ISNUMBER(SEARCH("medicine",B91)),ISNUMBER(SEARCH("obgyn",B91))),77,OR(ISNUMBER(SEARCH("portfolio manager",B91)),ISNUMBER(SEARCH("wealth advisor",B91))),81,OR(ISNUMBER(SEARCH("lawyer",B91)),ISNUMBER(SEARCH("attorney",B91))),68,ISNUMBER(SEARCH("counsel",B91)),66,ISNUMBER(SEARCH("professor",B91)),63,OR(ISNUMBER(SEARCH("engineer",B91)),ISNUMBER(SEARCH("consultant",B91))),62,ISNUMBER(SEARCH("senior manager",B91)),64,OR(ISNUMBER(SEARCH("realtor",B91)),ISNUMBER(SEARCH("broker",B91)),ISNUMBER(SEARCH("journalist",B91)),ISNUMBER(SEARCH("columnist",B91)),ISNUMBER(SEARCH("trader",B91)),ISNUMBER(SEARCH("actor",B91))),50,TRUE,60)</f>
        <v>91</v>
      </c>
      <c r="I91" s="31" t="str" cm="1">
        <f t="array" ref="I91">_xlfn.LET(_xlpm.p," "&amp;LOWER(SUBSTITUTE(SUBSTITUTE(SUBSTITUTE(B91,",","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91" s="31" t="str" cm="1">
        <f t="array" ref="J91">_xlfn.IFS(H91&gt;=90,"Very High",H91&gt;=80,"High",H91&gt;=56,"Medium",TRUE,"Low")</f>
        <v>Very High</v>
      </c>
      <c r="K91" s="31" t="str" cm="1">
        <f t="array" ref="K91">_xlfn.IFS(OR(ISNUMBER(SEARCH("hospital",C91)),ISNUMBER(SEARCH("health",C91)),ISNUMBER(SEARCH("medical",C91)),ISNUMBER(SEARCH("clinic",C91)),ISNUMBER(SEARCH("nursing",C91)),ISNUMBER(SEARCH("care cent",C91)),ISNUMBER(SEARCH("physician",B91)),ISNUMBER(SEARCH("doctor",B91)),ISNUMBER(SEARCH("dentist",B91)),ISNUMBER(SEARCH("surgeon",B91)),ISNUMBER(SEARCH("psychiat",B91)),ISNUMBER(SEARCH("medicine",B91))),"Healthcare",OR(ISNUMBER(SEARCH("llp",C91)),ISNUMBER(SEARCH("lawyer",B91)),ISNUMBER(SEARCH("attorney",B91)),ISNUMBER(SEARCH("legal",C91)),ISNUMBER(SEARCH("tetrault",C91)),ISNUMBER(SEARCH("morley",C91)),ISNUMBER(SEARCH("blg",C91)),ISNUMBER(SEARCH("lowy",C91)),ISNUMBER(SEARCH("riley",C91)),ISNUMBER(SEARCH("toomath",C91))),"Law",OR(ISNUMBER(SEARCH("reit",C91)),ISNUMBER(SEARCH("properties",C91)),ISNUMBER(SEARCH("realty",C91)),ISNUMBER(SEARCH("realtor",B91)),ISNUMBER(SEARCH("colliers",C91)),ISNUMBER(SEARCH("re/max",C91)),ISNUMBER(SEARCH("quadreal",C91)),ISNUMBER(SEARCH("vic management",C91))),"Real Estate",OR(ISNUMBER(SEARCH("deloitte",C91)),ISNUMBER(SEARCH("kpmg",C91)),ISNUMBER(SEARCH("pwc",C91)),ISNUMBER(SEARCH("consulting",C91)),ISNUMBER(SEARCH("consultant",B91)),ISNUMBER(SEARCH("advisory",C91)),ISNUMBER(SEARCH("philanthropic",C91)),ISNUMBER(SEARCH("argyle",C91)),ISNUMBER(SEARCH("quinn",C91))),"Consulting",OR(ISNUMBER(SEARCH("media",C91)),ISNUMBER(SEARCH("news",C91)),ISNUMBER(SEARCH("radio",C91)),ISNUMBER(SEARCH("film",C91)),ISNUMBER(SEARCH("journalist",B91)),ISNUMBER(SEARCH("columnist",B91)),ISNUMBER(SEARCH("globe",C91)),ISNUMBER(SEARCH("marketing",C91)),ISNUMBER(SEARCH("actor",B91))),"Media",OR(ISNUMBER(SEARCH("rbc",C91)),ISNUMBER(SEARCH("cibc",C91)),ISNUMBER(SEARCH("bmo",C91)),ISNUMBER(SEARCH("scotia",C91)),ISNUMBER(SEARCH("bank",C91)),ISNUMBER(SEARCH("capital",C91)),ISNUMBER(SEARCH("wealth",C91)),ISNUMBER(SEARCH("financial",C91)),ISNUMBER(SEARCH("securities",C91)),ISNUMBER(SEARCH("fidelity",C91)),ISNUMBER(SEARCH("guardian",C91)),ISNUMBER(SEARCH("wealthsimple",C91)),ISNUMBER(SEARCH("credit suisse",C91)),ISNUMBER(SEARCH("tmx",C91)),ISNUMBER(SEARCH("investors",C91)),ISNUMBER(SEARCH("trader",B91))),"Finance",OR(ISNUMBER(SEARCH("ventures",C91)),ISNUMBER(SEARCH("private equity",B91)),ISNUMBER(SEARCH("capital partners",C91))),"Private Equity / VC",OR(ISNUMBER(SEARCH("government",C91)),ISNUMBER(SEARCH("ministry",C91)),ISNUMBER(SEARCH("tribunal",C91)),ISNUMBER(SEARCH("tdsb",C91)),ISNUMBER(SEARCH("public service",C91))),"Government",OR(ISNUMBER(SEARCH("association",C91)),ISNUMBER(SEARCH("institute",C91)),ISNUMBER(SEARCH("foundation",C91))),"Nonprofit",OR(ISNUMBER(SEARCH("software",C91)),ISNUMBER(SEARCH("tech",C91)),ISNUMBER(SEARCH("systems",C91)),ISNUMBER(SEARCH("digital",C91)),ISNUMBER(SEARCH("engineering",C91)),ISNUMBER(SEARCH("solutions",C91))),"Technology",TRUE,"Other")</f>
        <v>Real Estate</v>
      </c>
    </row>
    <row r="92" spans="1:11" x14ac:dyDescent="0.3">
      <c r="A92" s="4" t="s">
        <v>495</v>
      </c>
      <c r="B92" s="4" t="s">
        <v>386</v>
      </c>
      <c r="C92" s="4" t="s">
        <v>496</v>
      </c>
      <c r="D92" s="4" t="s">
        <v>494</v>
      </c>
      <c r="E92" s="18">
        <v>3600000</v>
      </c>
      <c r="F92" s="5">
        <v>42320</v>
      </c>
      <c r="G92" s="6">
        <v>3.71</v>
      </c>
      <c r="H92" s="9">
        <v>91</v>
      </c>
      <c r="I92" s="10" t="s">
        <v>1063</v>
      </c>
      <c r="J92" s="10" t="s">
        <v>1053</v>
      </c>
      <c r="K92" s="10" t="s">
        <v>1054</v>
      </c>
    </row>
    <row r="93" spans="1:11" x14ac:dyDescent="0.3">
      <c r="A93" s="4" t="s">
        <v>1102</v>
      </c>
      <c r="B93" s="4" t="s">
        <v>1103</v>
      </c>
      <c r="C93" s="4" t="s">
        <v>1282</v>
      </c>
      <c r="D93" s="4" t="s">
        <v>1104</v>
      </c>
      <c r="E93" s="18">
        <v>3750000</v>
      </c>
      <c r="F93" s="5">
        <v>43115</v>
      </c>
      <c r="G93" s="6">
        <v>3.31</v>
      </c>
      <c r="H93" s="9">
        <v>91</v>
      </c>
      <c r="I93" s="10" t="s">
        <v>1052</v>
      </c>
      <c r="J93" s="10" t="s">
        <v>1053</v>
      </c>
      <c r="K93" s="10" t="s">
        <v>1054</v>
      </c>
    </row>
    <row r="94" spans="1:11" x14ac:dyDescent="0.3">
      <c r="A94" s="4" t="s">
        <v>459</v>
      </c>
      <c r="B94" s="4" t="s">
        <v>386</v>
      </c>
      <c r="C94" s="4" t="s">
        <v>460</v>
      </c>
      <c r="D94" s="4" t="s">
        <v>461</v>
      </c>
      <c r="E94" s="18">
        <v>3825000</v>
      </c>
      <c r="F94" s="5">
        <v>44091</v>
      </c>
      <c r="G94" s="6">
        <v>3.75</v>
      </c>
      <c r="H94" s="9">
        <v>91</v>
      </c>
      <c r="I94" s="10" t="s">
        <v>1063</v>
      </c>
      <c r="J94" s="10" t="s">
        <v>1053</v>
      </c>
      <c r="K94" s="10" t="s">
        <v>1054</v>
      </c>
    </row>
    <row r="95" spans="1:11" x14ac:dyDescent="0.3">
      <c r="A95" s="7" t="s">
        <v>425</v>
      </c>
      <c r="B95" s="7" t="s">
        <v>426</v>
      </c>
      <c r="C95" s="7" t="s">
        <v>427</v>
      </c>
      <c r="D95" s="7" t="s">
        <v>428</v>
      </c>
      <c r="E95" s="16">
        <v>4155000</v>
      </c>
      <c r="F95" s="34">
        <v>44453</v>
      </c>
      <c r="G95" s="3">
        <v>4.1900000000000004</v>
      </c>
      <c r="H95" s="9">
        <v>91</v>
      </c>
      <c r="I95" s="10" t="s">
        <v>1063</v>
      </c>
      <c r="J95" s="10" t="s">
        <v>1053</v>
      </c>
      <c r="K95" s="10" t="s">
        <v>1051</v>
      </c>
    </row>
    <row r="96" spans="1:11" x14ac:dyDescent="0.3">
      <c r="A96" s="4" t="s">
        <v>401</v>
      </c>
      <c r="B96" s="4" t="s">
        <v>402</v>
      </c>
      <c r="C96" s="4" t="s">
        <v>403</v>
      </c>
      <c r="D96" s="4" t="s">
        <v>404</v>
      </c>
      <c r="E96" s="16">
        <v>4550000</v>
      </c>
      <c r="F96" s="5">
        <v>44693</v>
      </c>
      <c r="G96" s="6">
        <v>3.85</v>
      </c>
      <c r="H96" s="9">
        <v>91</v>
      </c>
      <c r="I96" s="10" t="s">
        <v>1052</v>
      </c>
      <c r="J96" s="10" t="s">
        <v>1053</v>
      </c>
      <c r="K96" s="10" t="s">
        <v>1051</v>
      </c>
    </row>
    <row r="97" spans="1:11" x14ac:dyDescent="0.3">
      <c r="A97" s="11" t="s">
        <v>399</v>
      </c>
      <c r="B97" s="11" t="s">
        <v>42</v>
      </c>
      <c r="C97" s="13" t="s">
        <v>400</v>
      </c>
      <c r="D97" s="13" t="s">
        <v>398</v>
      </c>
      <c r="E97" s="17">
        <v>4600000</v>
      </c>
      <c r="F97" s="33">
        <v>43056</v>
      </c>
      <c r="G97" s="14">
        <v>4.0199999999999996</v>
      </c>
      <c r="H97" s="9">
        <v>91</v>
      </c>
      <c r="I97" s="10" t="s">
        <v>1052</v>
      </c>
      <c r="J97" s="10" t="s">
        <v>1053</v>
      </c>
      <c r="K97" s="10" t="s">
        <v>1067</v>
      </c>
    </row>
    <row r="98" spans="1:11" x14ac:dyDescent="0.3">
      <c r="A98" s="11" t="s">
        <v>392</v>
      </c>
      <c r="B98" s="11" t="s">
        <v>386</v>
      </c>
      <c r="C98" s="11" t="s">
        <v>194</v>
      </c>
      <c r="D98" s="11" t="s">
        <v>393</v>
      </c>
      <c r="E98" s="17">
        <v>4680000</v>
      </c>
      <c r="F98" s="33">
        <v>45520</v>
      </c>
      <c r="G98" s="12">
        <v>4.1100000000000003</v>
      </c>
      <c r="H98" s="9">
        <v>91</v>
      </c>
      <c r="I98" s="10" t="s">
        <v>1063</v>
      </c>
      <c r="J98" s="10" t="s">
        <v>1053</v>
      </c>
      <c r="K98" s="10" t="s">
        <v>1066</v>
      </c>
    </row>
    <row r="99" spans="1:11" x14ac:dyDescent="0.3">
      <c r="A99" s="4" t="s">
        <v>385</v>
      </c>
      <c r="B99" s="4" t="s">
        <v>386</v>
      </c>
      <c r="C99" s="4" t="s">
        <v>387</v>
      </c>
      <c r="D99" s="4" t="s">
        <v>384</v>
      </c>
      <c r="E99" s="16">
        <v>4932562</v>
      </c>
      <c r="F99" s="5">
        <v>45863</v>
      </c>
      <c r="G99" s="6">
        <v>4.0999999999999996</v>
      </c>
      <c r="H99" s="9">
        <v>91</v>
      </c>
      <c r="I99" s="10" t="s">
        <v>1063</v>
      </c>
      <c r="J99" s="10" t="s">
        <v>1053</v>
      </c>
      <c r="K99" s="10" t="s">
        <v>1051</v>
      </c>
    </row>
    <row r="100" spans="1:11" x14ac:dyDescent="0.3">
      <c r="A100" s="11" t="s">
        <v>349</v>
      </c>
      <c r="B100" s="11" t="s">
        <v>11</v>
      </c>
      <c r="C100" s="13" t="s">
        <v>350</v>
      </c>
      <c r="D100" s="13" t="s">
        <v>351</v>
      </c>
      <c r="E100" s="17">
        <v>5525000</v>
      </c>
      <c r="F100" s="33">
        <v>44377</v>
      </c>
      <c r="G100" s="14">
        <v>3.75</v>
      </c>
      <c r="H100" s="9">
        <v>91</v>
      </c>
      <c r="I100" s="10" t="s">
        <v>1052</v>
      </c>
      <c r="J100" s="10" t="s">
        <v>1053</v>
      </c>
      <c r="K100" s="10" t="s">
        <v>1062</v>
      </c>
    </row>
    <row r="101" spans="1:11" x14ac:dyDescent="0.3">
      <c r="A101" s="4" t="s">
        <v>333</v>
      </c>
      <c r="B101" s="4" t="s">
        <v>334</v>
      </c>
      <c r="C101" s="4" t="s">
        <v>335</v>
      </c>
      <c r="D101" s="4" t="s">
        <v>336</v>
      </c>
      <c r="E101" s="16">
        <v>5995000</v>
      </c>
      <c r="F101" s="5">
        <v>45777</v>
      </c>
      <c r="G101" s="6">
        <v>4.1399999999999997</v>
      </c>
      <c r="H101" s="9">
        <v>91</v>
      </c>
      <c r="I101" s="10" t="s">
        <v>1052</v>
      </c>
      <c r="J101" s="10" t="s">
        <v>1053</v>
      </c>
      <c r="K101" s="10" t="s">
        <v>1059</v>
      </c>
    </row>
    <row r="102" spans="1:11" x14ac:dyDescent="0.3">
      <c r="A102" s="4" t="s">
        <v>337</v>
      </c>
      <c r="B102" s="4" t="s">
        <v>11</v>
      </c>
      <c r="C102" s="4" t="s">
        <v>338</v>
      </c>
      <c r="D102" s="4" t="s">
        <v>336</v>
      </c>
      <c r="E102" s="16">
        <v>5995000</v>
      </c>
      <c r="F102" s="5">
        <v>45777</v>
      </c>
      <c r="G102" s="6">
        <v>4.1399999999999997</v>
      </c>
      <c r="H102" s="9">
        <v>91</v>
      </c>
      <c r="I102" s="10" t="s">
        <v>1052</v>
      </c>
      <c r="J102" s="10" t="s">
        <v>1053</v>
      </c>
      <c r="K102" s="10" t="s">
        <v>1051</v>
      </c>
    </row>
    <row r="103" spans="1:11" x14ac:dyDescent="0.3">
      <c r="A103" s="7" t="s">
        <v>309</v>
      </c>
      <c r="B103" s="7" t="s">
        <v>42</v>
      </c>
      <c r="C103" s="7" t="s">
        <v>310</v>
      </c>
      <c r="D103" s="7" t="s">
        <v>311</v>
      </c>
      <c r="E103" s="16">
        <v>7895000</v>
      </c>
      <c r="F103" s="34">
        <v>45580</v>
      </c>
      <c r="G103" s="3">
        <v>3.89</v>
      </c>
      <c r="H103" s="9">
        <v>91</v>
      </c>
      <c r="I103" s="10" t="s">
        <v>1052</v>
      </c>
      <c r="J103" s="10" t="s">
        <v>1053</v>
      </c>
      <c r="K103" s="10" t="s">
        <v>1054</v>
      </c>
    </row>
    <row r="104" spans="1:11" x14ac:dyDescent="0.3">
      <c r="A104" s="4" t="s">
        <v>1231</v>
      </c>
      <c r="B104" s="4" t="s">
        <v>11</v>
      </c>
      <c r="C104" s="4" t="s">
        <v>1232</v>
      </c>
      <c r="D104" s="4" t="s">
        <v>1233</v>
      </c>
      <c r="E104" s="16">
        <v>14800000</v>
      </c>
      <c r="F104" s="5">
        <v>41730</v>
      </c>
      <c r="G104" s="6">
        <v>6.21</v>
      </c>
      <c r="H104" s="9">
        <v>91</v>
      </c>
      <c r="I104" s="10" t="s">
        <v>1052</v>
      </c>
      <c r="J104" s="10" t="s">
        <v>1053</v>
      </c>
      <c r="K104" s="10" t="s">
        <v>1051</v>
      </c>
    </row>
    <row r="105" spans="1:11" x14ac:dyDescent="0.3">
      <c r="A105" s="27" t="s">
        <v>1414</v>
      </c>
      <c r="B105" s="27" t="s">
        <v>386</v>
      </c>
      <c r="C105" s="27" t="s">
        <v>325</v>
      </c>
      <c r="D105" s="27" t="s">
        <v>1371</v>
      </c>
      <c r="E105" s="32" t="s">
        <v>1280</v>
      </c>
      <c r="F105" s="28">
        <v>45127</v>
      </c>
      <c r="G105" s="29">
        <v>3.28</v>
      </c>
      <c r="H105" s="30" cm="1">
        <f t="array" ref="H105">_xlfn.IFS(I105="Founder / Owner",IF(ISNUMBER(SEARCH("owner",B105)),80,96),I105="C-Suite",IF(OR(ISNUMBER(SEARCH("ceo",B105)),ISNUMBER(SEARCH("chief executive",B105))),95,91),I105="Managing Director",86,I105="Partner",IF(OR(ISNUMBER(SEARCH("managing partner",B105)),ISNUMBER(SEARCH("general partner",B105))),88,85),I105="VP / Head",_xlfn.IFS(OR(ISNUMBER(SEARCH("vice president",B105)),ISNUMBER(SEARCH("executive vice",B105))),91,ISNUMBER(SEARCH("svp",B105)),77,TRUE,73),I105="Director",IF(ISNUMBER(SEARCH("principal",B105)),72,71),I105="Individual Contributor",32,OR(ISNUMBER(SEARCH("surgeon",B105)),ISNUMBER(SEARCH("physician",B105)),ISNUMBER(SEARCH("doctor",B105)),ISNUMBER(SEARCH("dentist",B105)),ISNUMBER(SEARCH("psychiat",B105)),ISNUMBER(SEARCH("oncolog",B105)),ISNUMBER(SEARCH("neurolog",B105)),ISNUMBER(SEARCH("patholog",B105)),ISNUMBER(SEARCH("medicine",B105)),ISNUMBER(SEARCH("obgyn",B105))),77,OR(ISNUMBER(SEARCH("portfolio manager",B105)),ISNUMBER(SEARCH("wealth advisor",B105))),81,OR(ISNUMBER(SEARCH("lawyer",B105)),ISNUMBER(SEARCH("attorney",B105))),68,ISNUMBER(SEARCH("counsel",B105)),66,ISNUMBER(SEARCH("professor",B105)),63,OR(ISNUMBER(SEARCH("engineer",B105)),ISNUMBER(SEARCH("consultant",B105))),62,ISNUMBER(SEARCH("senior manager",B105)),64,OR(ISNUMBER(SEARCH("realtor",B105)),ISNUMBER(SEARCH("broker",B105)),ISNUMBER(SEARCH("journalist",B105)),ISNUMBER(SEARCH("columnist",B105)),ISNUMBER(SEARCH("trader",B105)),ISNUMBER(SEARCH("actor",B105))),50,TRUE,60)</f>
        <v>91</v>
      </c>
      <c r="I105" s="31" t="str" cm="1">
        <f t="array" ref="I105">_xlfn.LET(_xlpm.p," "&amp;LOWER(SUBSTITUTE(SUBSTITUTE(SUBSTITUTE(B105,",","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105" s="31" t="str" cm="1">
        <f t="array" ref="J105">_xlfn.IFS(H105&gt;=90,"Very High",H105&gt;=80,"High",H105&gt;=56,"Medium",TRUE,"Low")</f>
        <v>Very High</v>
      </c>
      <c r="K105" s="31" t="str" cm="1">
        <f t="array" ref="K105">_xlfn.IFS(OR(ISNUMBER(SEARCH("hospital",C105)),ISNUMBER(SEARCH("health",C105)),ISNUMBER(SEARCH("medical",C105)),ISNUMBER(SEARCH("clinic",C105)),ISNUMBER(SEARCH("nursing",C105)),ISNUMBER(SEARCH("care cent",C105)),ISNUMBER(SEARCH("physician",B105)),ISNUMBER(SEARCH("doctor",B105)),ISNUMBER(SEARCH("dentist",B105)),ISNUMBER(SEARCH("surgeon",B105)),ISNUMBER(SEARCH("psychiat",B105)),ISNUMBER(SEARCH("medicine",B105))),"Healthcare",OR(ISNUMBER(SEARCH("llp",C105)),ISNUMBER(SEARCH("lawyer",B105)),ISNUMBER(SEARCH("attorney",B105)),ISNUMBER(SEARCH("legal",C105)),ISNUMBER(SEARCH("tetrault",C105)),ISNUMBER(SEARCH("morley",C105)),ISNUMBER(SEARCH("blg",C105)),ISNUMBER(SEARCH("lowy",C105)),ISNUMBER(SEARCH("riley",C105)),ISNUMBER(SEARCH("toomath",C105))),"Law",OR(ISNUMBER(SEARCH("reit",C105)),ISNUMBER(SEARCH("properties",C105)),ISNUMBER(SEARCH("realty",C105)),ISNUMBER(SEARCH("realtor",B105)),ISNUMBER(SEARCH("colliers",C105)),ISNUMBER(SEARCH("re/max",C105)),ISNUMBER(SEARCH("quadreal",C105)),ISNUMBER(SEARCH("vic management",C105))),"Real Estate",OR(ISNUMBER(SEARCH("deloitte",C105)),ISNUMBER(SEARCH("kpmg",C105)),ISNUMBER(SEARCH("pwc",C105)),ISNUMBER(SEARCH("consulting",C105)),ISNUMBER(SEARCH("consultant",B105)),ISNUMBER(SEARCH("advisory",C105)),ISNUMBER(SEARCH("philanthropic",C105)),ISNUMBER(SEARCH("argyle",C105)),ISNUMBER(SEARCH("quinn",C105))),"Consulting",OR(ISNUMBER(SEARCH("media",C105)),ISNUMBER(SEARCH("news",C105)),ISNUMBER(SEARCH("radio",C105)),ISNUMBER(SEARCH("film",C105)),ISNUMBER(SEARCH("journalist",B105)),ISNUMBER(SEARCH("columnist",B105)),ISNUMBER(SEARCH("globe",C105)),ISNUMBER(SEARCH("marketing",C105)),ISNUMBER(SEARCH("actor",B105))),"Media",OR(ISNUMBER(SEARCH("rbc",C105)),ISNUMBER(SEARCH("cibc",C105)),ISNUMBER(SEARCH("bmo",C105)),ISNUMBER(SEARCH("scotia",C105)),ISNUMBER(SEARCH("bank",C105)),ISNUMBER(SEARCH("capital",C105)),ISNUMBER(SEARCH("wealth",C105)),ISNUMBER(SEARCH("financial",C105)),ISNUMBER(SEARCH("securities",C105)),ISNUMBER(SEARCH("fidelity",C105)),ISNUMBER(SEARCH("guardian",C105)),ISNUMBER(SEARCH("wealthsimple",C105)),ISNUMBER(SEARCH("credit suisse",C105)),ISNUMBER(SEARCH("tmx",C105)),ISNUMBER(SEARCH("investors",C105)),ISNUMBER(SEARCH("trader",B105))),"Finance",OR(ISNUMBER(SEARCH("ventures",C105)),ISNUMBER(SEARCH("private equity",B105)),ISNUMBER(SEARCH("capital partners",C105))),"Private Equity / VC",OR(ISNUMBER(SEARCH("government",C105)),ISNUMBER(SEARCH("ministry",C105)),ISNUMBER(SEARCH("tribunal",C105)),ISNUMBER(SEARCH("tdsb",C105)),ISNUMBER(SEARCH("public service",C105))),"Government",OR(ISNUMBER(SEARCH("association",C105)),ISNUMBER(SEARCH("institute",C105)),ISNUMBER(SEARCH("foundation",C105))),"Nonprofit",OR(ISNUMBER(SEARCH("software",C105)),ISNUMBER(SEARCH("tech",C105)),ISNUMBER(SEARCH("systems",C105)),ISNUMBER(SEARCH("digital",C105)),ISNUMBER(SEARCH("engineering",C105)),ISNUMBER(SEARCH("solutions",C105))),"Technology",TRUE,"Other")</f>
        <v>Finance</v>
      </c>
    </row>
    <row r="106" spans="1:11" x14ac:dyDescent="0.3">
      <c r="A106" s="27" t="s">
        <v>1399</v>
      </c>
      <c r="B106" s="27" t="s">
        <v>1400</v>
      </c>
      <c r="C106" s="27" t="s">
        <v>1401</v>
      </c>
      <c r="D106" s="27" t="s">
        <v>1402</v>
      </c>
      <c r="E106" s="32" t="s">
        <v>1280</v>
      </c>
      <c r="F106" s="28">
        <v>42233</v>
      </c>
      <c r="G106" s="29">
        <v>3.02</v>
      </c>
      <c r="H106" s="30" cm="1">
        <f t="array" ref="H106">_xlfn.IFS(I106="Founder / Owner",IF(ISNUMBER(SEARCH("owner",B106)),80,96),I106="C-Suite",IF(OR(ISNUMBER(SEARCH("ceo",B106)),ISNUMBER(SEARCH("chief executive",B106))),95,91),I106="Managing Director",86,I106="Partner",IF(OR(ISNUMBER(SEARCH("managing partner",B106)),ISNUMBER(SEARCH("general partner",B106))),88,85),I106="VP / Head",_xlfn.IFS(OR(ISNUMBER(SEARCH("vice president",B106)),ISNUMBER(SEARCH("executive vice",B106))),91,ISNUMBER(SEARCH("svp",B106)),77,TRUE,73),I106="Director",IF(ISNUMBER(SEARCH("principal",B106)),72,71),I106="Individual Contributor",32,OR(ISNUMBER(SEARCH("surgeon",B106)),ISNUMBER(SEARCH("physician",B106)),ISNUMBER(SEARCH("doctor",B106)),ISNUMBER(SEARCH("dentist",B106)),ISNUMBER(SEARCH("psychiat",B106)),ISNUMBER(SEARCH("oncolog",B106)),ISNUMBER(SEARCH("neurolog",B106)),ISNUMBER(SEARCH("patholog",B106)),ISNUMBER(SEARCH("medicine",B106)),ISNUMBER(SEARCH("obgyn",B106))),77,OR(ISNUMBER(SEARCH("portfolio manager",B106)),ISNUMBER(SEARCH("wealth advisor",B106))),81,OR(ISNUMBER(SEARCH("lawyer",B106)),ISNUMBER(SEARCH("attorney",B106))),68,ISNUMBER(SEARCH("counsel",B106)),66,ISNUMBER(SEARCH("professor",B106)),63,OR(ISNUMBER(SEARCH("engineer",B106)),ISNUMBER(SEARCH("consultant",B106))),62,ISNUMBER(SEARCH("senior manager",B106)),64,OR(ISNUMBER(SEARCH("realtor",B106)),ISNUMBER(SEARCH("broker",B106)),ISNUMBER(SEARCH("journalist",B106)),ISNUMBER(SEARCH("columnist",B106)),ISNUMBER(SEARCH("trader",B106)),ISNUMBER(SEARCH("actor",B106))),50,TRUE,60)</f>
        <v>91</v>
      </c>
      <c r="I106" s="31" t="str" cm="1">
        <f t="array" ref="I106">_xlfn.LET(_xlpm.p," "&amp;LOWER(SUBSTITUTE(SUBSTITUTE(SUBSTITUTE(B106,",","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106" s="31" t="str" cm="1">
        <f t="array" ref="J106">_xlfn.IFS(H106&gt;=90,"Very High",H106&gt;=80,"High",H106&gt;=56,"Medium",TRUE,"Low")</f>
        <v>Very High</v>
      </c>
      <c r="K106" s="31" t="str" cm="1">
        <f t="array" ref="K106">_xlfn.IFS(OR(ISNUMBER(SEARCH("hospital",C106)),ISNUMBER(SEARCH("health",C106)),ISNUMBER(SEARCH("medical",C106)),ISNUMBER(SEARCH("clinic",C106)),ISNUMBER(SEARCH("nursing",C106)),ISNUMBER(SEARCH("care cent",C106)),ISNUMBER(SEARCH("physician",B106)),ISNUMBER(SEARCH("doctor",B106)),ISNUMBER(SEARCH("dentist",B106)),ISNUMBER(SEARCH("surgeon",B106)),ISNUMBER(SEARCH("psychiat",B106)),ISNUMBER(SEARCH("medicine",B106))),"Healthcare",OR(ISNUMBER(SEARCH("llp",C106)),ISNUMBER(SEARCH("lawyer",B106)),ISNUMBER(SEARCH("attorney",B106)),ISNUMBER(SEARCH("legal",C106)),ISNUMBER(SEARCH("tetrault",C106)),ISNUMBER(SEARCH("morley",C106)),ISNUMBER(SEARCH("blg",C106)),ISNUMBER(SEARCH("lowy",C106)),ISNUMBER(SEARCH("riley",C106)),ISNUMBER(SEARCH("toomath",C106))),"Law",OR(ISNUMBER(SEARCH("reit",C106)),ISNUMBER(SEARCH("properties",C106)),ISNUMBER(SEARCH("realty",C106)),ISNUMBER(SEARCH("realtor",B106)),ISNUMBER(SEARCH("colliers",C106)),ISNUMBER(SEARCH("re/max",C106)),ISNUMBER(SEARCH("quadreal",C106)),ISNUMBER(SEARCH("vic management",C106))),"Real Estate",OR(ISNUMBER(SEARCH("deloitte",C106)),ISNUMBER(SEARCH("kpmg",C106)),ISNUMBER(SEARCH("pwc",C106)),ISNUMBER(SEARCH("consulting",C106)),ISNUMBER(SEARCH("consultant",B106)),ISNUMBER(SEARCH("advisory",C106)),ISNUMBER(SEARCH("philanthropic",C106)),ISNUMBER(SEARCH("argyle",C106)),ISNUMBER(SEARCH("quinn",C106))),"Consulting",OR(ISNUMBER(SEARCH("media",C106)),ISNUMBER(SEARCH("news",C106)),ISNUMBER(SEARCH("radio",C106)),ISNUMBER(SEARCH("film",C106)),ISNUMBER(SEARCH("journalist",B106)),ISNUMBER(SEARCH("columnist",B106)),ISNUMBER(SEARCH("globe",C106)),ISNUMBER(SEARCH("marketing",C106)),ISNUMBER(SEARCH("actor",B106))),"Media",OR(ISNUMBER(SEARCH("rbc",C106)),ISNUMBER(SEARCH("cibc",C106)),ISNUMBER(SEARCH("bmo",C106)),ISNUMBER(SEARCH("scotia",C106)),ISNUMBER(SEARCH("bank",C106)),ISNUMBER(SEARCH("capital",C106)),ISNUMBER(SEARCH("wealth",C106)),ISNUMBER(SEARCH("financial",C106)),ISNUMBER(SEARCH("securities",C106)),ISNUMBER(SEARCH("fidelity",C106)),ISNUMBER(SEARCH("guardian",C106)),ISNUMBER(SEARCH("wealthsimple",C106)),ISNUMBER(SEARCH("credit suisse",C106)),ISNUMBER(SEARCH("tmx",C106)),ISNUMBER(SEARCH("investors",C106)),ISNUMBER(SEARCH("trader",B106))),"Finance",OR(ISNUMBER(SEARCH("ventures",C106)),ISNUMBER(SEARCH("private equity",B106)),ISNUMBER(SEARCH("capital partners",C106))),"Private Equity / VC",OR(ISNUMBER(SEARCH("government",C106)),ISNUMBER(SEARCH("ministry",C106)),ISNUMBER(SEARCH("tribunal",C106)),ISNUMBER(SEARCH("tdsb",C106)),ISNUMBER(SEARCH("public service",C106))),"Government",OR(ISNUMBER(SEARCH("association",C106)),ISNUMBER(SEARCH("institute",C106)),ISNUMBER(SEARCH("foundation",C106))),"Nonprofit",OR(ISNUMBER(SEARCH("software",C106)),ISNUMBER(SEARCH("tech",C106)),ISNUMBER(SEARCH("systems",C106)),ISNUMBER(SEARCH("digital",C106)),ISNUMBER(SEARCH("engineering",C106)),ISNUMBER(SEARCH("solutions",C106))),"Technology",TRUE,"Other")</f>
        <v>Finance</v>
      </c>
    </row>
    <row r="107" spans="1:11" x14ac:dyDescent="0.3">
      <c r="A107" s="4" t="s">
        <v>63</v>
      </c>
      <c r="B107" s="4" t="s">
        <v>11</v>
      </c>
      <c r="C107" s="4" t="s">
        <v>64</v>
      </c>
      <c r="D107" s="4" t="s">
        <v>65</v>
      </c>
      <c r="E107" s="20" t="s">
        <v>1280</v>
      </c>
      <c r="F107" s="5">
        <v>45154</v>
      </c>
      <c r="G107" s="3">
        <v>4.82</v>
      </c>
      <c r="H107" s="9">
        <v>91</v>
      </c>
      <c r="I107" s="10" t="s">
        <v>1052</v>
      </c>
      <c r="J107" s="10" t="s">
        <v>1053</v>
      </c>
      <c r="K107" s="10" t="s">
        <v>1062</v>
      </c>
    </row>
    <row r="108" spans="1:11" x14ac:dyDescent="0.3">
      <c r="A108" s="4" t="s">
        <v>41</v>
      </c>
      <c r="B108" s="4" t="s">
        <v>42</v>
      </c>
      <c r="C108" s="4" t="s">
        <v>43</v>
      </c>
      <c r="D108" s="4" t="s">
        <v>44</v>
      </c>
      <c r="E108" s="20" t="s">
        <v>1280</v>
      </c>
      <c r="F108" s="5">
        <v>32385</v>
      </c>
      <c r="G108" s="3">
        <v>4.766</v>
      </c>
      <c r="H108" s="9">
        <v>91</v>
      </c>
      <c r="I108" s="10" t="s">
        <v>1052</v>
      </c>
      <c r="J108" s="10" t="s">
        <v>1053</v>
      </c>
      <c r="K108" s="10" t="s">
        <v>1051</v>
      </c>
    </row>
    <row r="109" spans="1:11" x14ac:dyDescent="0.3">
      <c r="A109" s="4" t="s">
        <v>1216</v>
      </c>
      <c r="B109" s="4" t="s">
        <v>11</v>
      </c>
      <c r="C109" s="4" t="s">
        <v>1217</v>
      </c>
      <c r="D109" s="4" t="s">
        <v>1218</v>
      </c>
      <c r="E109" s="20" t="s">
        <v>1280</v>
      </c>
      <c r="F109" s="5">
        <v>44427</v>
      </c>
      <c r="G109" s="6">
        <v>3.21</v>
      </c>
      <c r="H109" s="9">
        <v>91</v>
      </c>
      <c r="I109" s="10" t="s">
        <v>1052</v>
      </c>
      <c r="J109" s="10" t="s">
        <v>1053</v>
      </c>
      <c r="K109" s="10" t="s">
        <v>1051</v>
      </c>
    </row>
    <row r="110" spans="1:11" x14ac:dyDescent="0.3">
      <c r="A110" s="4" t="s">
        <v>1276</v>
      </c>
      <c r="B110" s="4" t="s">
        <v>1277</v>
      </c>
      <c r="C110" s="4" t="s">
        <v>1278</v>
      </c>
      <c r="D110" s="4" t="s">
        <v>1279</v>
      </c>
      <c r="E110" s="20" t="s">
        <v>1280</v>
      </c>
      <c r="F110" s="35" t="s">
        <v>1280</v>
      </c>
      <c r="G110" s="3">
        <v>6.26</v>
      </c>
      <c r="H110" s="9">
        <v>91</v>
      </c>
      <c r="I110" s="10" t="s">
        <v>1063</v>
      </c>
      <c r="J110" s="10" t="s">
        <v>1053</v>
      </c>
      <c r="K110" s="10" t="s">
        <v>1054</v>
      </c>
    </row>
    <row r="111" spans="1:11" x14ac:dyDescent="0.3">
      <c r="A111" s="4" t="s">
        <v>1224</v>
      </c>
      <c r="B111" s="4" t="s">
        <v>386</v>
      </c>
      <c r="C111" s="4" t="s">
        <v>1225</v>
      </c>
      <c r="D111" s="4" t="s">
        <v>1226</v>
      </c>
      <c r="E111" s="20" t="s">
        <v>1280</v>
      </c>
      <c r="F111" s="5">
        <v>46120</v>
      </c>
      <c r="G111" s="3">
        <v>3.22</v>
      </c>
      <c r="H111" s="9">
        <v>91</v>
      </c>
      <c r="I111" s="10" t="s">
        <v>1063</v>
      </c>
      <c r="J111" s="10" t="s">
        <v>1053</v>
      </c>
      <c r="K111" s="10" t="s">
        <v>1051</v>
      </c>
    </row>
    <row r="112" spans="1:11" x14ac:dyDescent="0.3">
      <c r="A112" s="4" t="s">
        <v>1041</v>
      </c>
      <c r="B112" s="4" t="s">
        <v>11</v>
      </c>
      <c r="C112" s="4" t="s">
        <v>1042</v>
      </c>
      <c r="D112" s="4" t="s">
        <v>1043</v>
      </c>
      <c r="E112" s="20" t="s">
        <v>1280</v>
      </c>
      <c r="F112" s="5">
        <v>29951</v>
      </c>
      <c r="G112" s="3">
        <v>3.69</v>
      </c>
      <c r="H112" s="9">
        <v>91</v>
      </c>
      <c r="I112" s="10" t="s">
        <v>1052</v>
      </c>
      <c r="J112" s="10" t="s">
        <v>1053</v>
      </c>
      <c r="K112" s="10" t="s">
        <v>1051</v>
      </c>
    </row>
    <row r="113" spans="1:11" x14ac:dyDescent="0.3">
      <c r="A113" s="11" t="s">
        <v>842</v>
      </c>
      <c r="B113" s="11" t="s">
        <v>158</v>
      </c>
      <c r="C113" s="11" t="s">
        <v>843</v>
      </c>
      <c r="D113" s="11" t="s">
        <v>844</v>
      </c>
      <c r="E113" s="17">
        <v>1595000</v>
      </c>
      <c r="F113" s="33">
        <v>37839</v>
      </c>
      <c r="G113" s="12">
        <v>3.83</v>
      </c>
      <c r="H113" s="9">
        <v>90</v>
      </c>
      <c r="I113" s="10" t="s">
        <v>1049</v>
      </c>
      <c r="J113" s="10" t="s">
        <v>1053</v>
      </c>
      <c r="K113" s="10" t="s">
        <v>1066</v>
      </c>
    </row>
    <row r="114" spans="1:11" x14ac:dyDescent="0.3">
      <c r="A114" s="4" t="s">
        <v>1203</v>
      </c>
      <c r="B114" s="4" t="s">
        <v>941</v>
      </c>
      <c r="C114" s="4" t="s">
        <v>1204</v>
      </c>
      <c r="D114" s="4" t="s">
        <v>1205</v>
      </c>
      <c r="E114" s="18">
        <v>1060000</v>
      </c>
      <c r="F114" s="5">
        <v>41296</v>
      </c>
      <c r="G114" s="6">
        <v>3.36</v>
      </c>
      <c r="H114" s="9">
        <v>88</v>
      </c>
      <c r="I114" s="10" t="s">
        <v>156</v>
      </c>
      <c r="J114" s="10" t="s">
        <v>1050</v>
      </c>
      <c r="K114" s="10" t="s">
        <v>1051</v>
      </c>
    </row>
    <row r="115" spans="1:11" x14ac:dyDescent="0.3">
      <c r="A115" s="4" t="s">
        <v>802</v>
      </c>
      <c r="B115" s="4" t="s">
        <v>361</v>
      </c>
      <c r="C115" s="4" t="s">
        <v>803</v>
      </c>
      <c r="D115" s="4" t="s">
        <v>804</v>
      </c>
      <c r="E115" s="18">
        <v>1750000</v>
      </c>
      <c r="F115" s="5">
        <v>39639</v>
      </c>
      <c r="G115" s="3">
        <v>3.78</v>
      </c>
      <c r="H115" s="9">
        <v>88</v>
      </c>
      <c r="I115" s="10" t="s">
        <v>156</v>
      </c>
      <c r="J115" s="10" t="s">
        <v>1050</v>
      </c>
      <c r="K115" s="10" t="s">
        <v>1059</v>
      </c>
    </row>
    <row r="116" spans="1:11" x14ac:dyDescent="0.3">
      <c r="A116" s="4" t="s">
        <v>712</v>
      </c>
      <c r="B116" s="4" t="s">
        <v>361</v>
      </c>
      <c r="C116" s="4" t="s">
        <v>713</v>
      </c>
      <c r="D116" s="4" t="s">
        <v>711</v>
      </c>
      <c r="E116" s="18">
        <v>2270000</v>
      </c>
      <c r="F116" s="5">
        <v>40983</v>
      </c>
      <c r="G116" s="6">
        <v>4.18</v>
      </c>
      <c r="H116" s="9">
        <v>88</v>
      </c>
      <c r="I116" s="10" t="s">
        <v>156</v>
      </c>
      <c r="J116" s="10" t="s">
        <v>1050</v>
      </c>
      <c r="K116" s="10" t="s">
        <v>1059</v>
      </c>
    </row>
    <row r="117" spans="1:11" x14ac:dyDescent="0.3">
      <c r="A117" s="27" t="s">
        <v>1323</v>
      </c>
      <c r="B117" s="27" t="s">
        <v>361</v>
      </c>
      <c r="C117" s="27" t="s">
        <v>1458</v>
      </c>
      <c r="D117" s="27" t="s">
        <v>1324</v>
      </c>
      <c r="E117" s="32">
        <v>2300000</v>
      </c>
      <c r="F117" s="28">
        <v>42034</v>
      </c>
      <c r="G117" s="29">
        <v>3.27</v>
      </c>
      <c r="H117" s="30" cm="1">
        <f t="array" ref="H117">_xlfn.IFS(I117="Founder / Owner",IF(ISNUMBER(SEARCH("owner",B117)),80,96),I117="C-Suite",IF(OR(ISNUMBER(SEARCH("ceo",B117)),ISNUMBER(SEARCH("chief executive",B117))),95,91),I117="Managing Director",86,I117="Partner",IF(OR(ISNUMBER(SEARCH("managing partner",B117)),ISNUMBER(SEARCH("general partner",B117))),88,85),I117="VP / Head",_xlfn.IFS(OR(ISNUMBER(SEARCH("vice president",B117)),ISNUMBER(SEARCH("executive vice",B117))),91,ISNUMBER(SEARCH("svp",B117)),77,TRUE,73),I117="Director",IF(ISNUMBER(SEARCH("principal",B117)),72,71),I117="Individual Contributor",32,OR(ISNUMBER(SEARCH("surgeon",B117)),ISNUMBER(SEARCH("physician",B117)),ISNUMBER(SEARCH("doctor",B117)),ISNUMBER(SEARCH("dentist",B117)),ISNUMBER(SEARCH("psychiat",B117)),ISNUMBER(SEARCH("oncolog",B117)),ISNUMBER(SEARCH("neurolog",B117)),ISNUMBER(SEARCH("patholog",B117)),ISNUMBER(SEARCH("medicine",B117)),ISNUMBER(SEARCH("obgyn",B117))),77,OR(ISNUMBER(SEARCH("portfolio manager",B117)),ISNUMBER(SEARCH("wealth advisor",B117))),81,OR(ISNUMBER(SEARCH("lawyer",B117)),ISNUMBER(SEARCH("attorney",B117))),68,ISNUMBER(SEARCH("counsel",B117)),66,ISNUMBER(SEARCH("professor",B117)),63,OR(ISNUMBER(SEARCH("engineer",B117)),ISNUMBER(SEARCH("consultant",B117))),62,ISNUMBER(SEARCH("senior manager",B117)),64,OR(ISNUMBER(SEARCH("realtor",B117)),ISNUMBER(SEARCH("broker",B117)),ISNUMBER(SEARCH("journalist",B117)),ISNUMBER(SEARCH("columnist",B117)),ISNUMBER(SEARCH("trader",B117)),ISNUMBER(SEARCH("actor",B117))),50,TRUE,60)</f>
        <v>88</v>
      </c>
      <c r="I117" s="31" t="str" cm="1">
        <f t="array" ref="I117">_xlfn.LET(_xlpm.p," "&amp;LOWER(SUBSTITUTE(SUBSTITUTE(SUBSTITUTE(B117,",","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17" s="31" t="str" cm="1">
        <f t="array" ref="J117">_xlfn.IFS(H117&gt;=90,"Very High",H117&gt;=80,"High",H117&gt;=56,"Medium",TRUE,"Low")</f>
        <v>High</v>
      </c>
      <c r="K117" s="31" t="str" cm="1">
        <f t="array" ref="K117">_xlfn.IFS(OR(ISNUMBER(SEARCH("hospital",C117)),ISNUMBER(SEARCH("health",C117)),ISNUMBER(SEARCH("medical",C117)),ISNUMBER(SEARCH("clinic",C117)),ISNUMBER(SEARCH("nursing",C117)),ISNUMBER(SEARCH("care cent",C117)),ISNUMBER(SEARCH("physician",B117)),ISNUMBER(SEARCH("doctor",B117)),ISNUMBER(SEARCH("dentist",B117)),ISNUMBER(SEARCH("surgeon",B117)),ISNUMBER(SEARCH("psychiat",B117)),ISNUMBER(SEARCH("medicine",B117))),"Healthcare",OR(ISNUMBER(SEARCH("llp",C117)),ISNUMBER(SEARCH("lawyer",B117)),ISNUMBER(SEARCH("attorney",B117)),ISNUMBER(SEARCH("legal",C117)),ISNUMBER(SEARCH("tetrault",C117)),ISNUMBER(SEARCH("morley",C117)),ISNUMBER(SEARCH("blg",C117)),ISNUMBER(SEARCH("lowy",C117)),ISNUMBER(SEARCH("riley",C117)),ISNUMBER(SEARCH("toomath",C117))),"Law",OR(ISNUMBER(SEARCH("reit",C117)),ISNUMBER(SEARCH("properties",C117)),ISNUMBER(SEARCH("realty",C117)),ISNUMBER(SEARCH("realtor",B117)),ISNUMBER(SEARCH("colliers",C117)),ISNUMBER(SEARCH("re/max",C117)),ISNUMBER(SEARCH("quadreal",C117)),ISNUMBER(SEARCH("vic management",C117))),"Real Estate",OR(ISNUMBER(SEARCH("deloitte",C117)),ISNUMBER(SEARCH("kpmg",C117)),ISNUMBER(SEARCH("pwc",C117)),ISNUMBER(SEARCH("consulting",C117)),ISNUMBER(SEARCH("consultant",B117)),ISNUMBER(SEARCH("advisory",C117)),ISNUMBER(SEARCH("philanthropic",C117)),ISNUMBER(SEARCH("argyle",C117)),ISNUMBER(SEARCH("quinn",C117))),"Consulting",OR(ISNUMBER(SEARCH("media",C117)),ISNUMBER(SEARCH("news",C117)),ISNUMBER(SEARCH("radio",C117)),ISNUMBER(SEARCH("film",C117)),ISNUMBER(SEARCH("journalist",B117)),ISNUMBER(SEARCH("columnist",B117)),ISNUMBER(SEARCH("globe",C117)),ISNUMBER(SEARCH("marketing",C117)),ISNUMBER(SEARCH("actor",B117))),"Media",OR(ISNUMBER(SEARCH("rbc",C117)),ISNUMBER(SEARCH("cibc",C117)),ISNUMBER(SEARCH("bmo",C117)),ISNUMBER(SEARCH("scotia",C117)),ISNUMBER(SEARCH("bank",C117)),ISNUMBER(SEARCH("capital",C117)),ISNUMBER(SEARCH("wealth",C117)),ISNUMBER(SEARCH("financial",C117)),ISNUMBER(SEARCH("securities",C117)),ISNUMBER(SEARCH("fidelity",C117)),ISNUMBER(SEARCH("guardian",C117)),ISNUMBER(SEARCH("wealthsimple",C117)),ISNUMBER(SEARCH("credit suisse",C117)),ISNUMBER(SEARCH("tmx",C117)),ISNUMBER(SEARCH("investors",C117)),ISNUMBER(SEARCH("trader",B117))),"Finance",OR(ISNUMBER(SEARCH("ventures",C117)),ISNUMBER(SEARCH("private equity",B117)),ISNUMBER(SEARCH("capital partners",C117))),"Private Equity / VC",OR(ISNUMBER(SEARCH("government",C117)),ISNUMBER(SEARCH("ministry",C117)),ISNUMBER(SEARCH("tribunal",C117)),ISNUMBER(SEARCH("tdsb",C117)),ISNUMBER(SEARCH("public service",C117))),"Government",OR(ISNUMBER(SEARCH("association",C117)),ISNUMBER(SEARCH("institute",C117)),ISNUMBER(SEARCH("foundation",C117))),"Nonprofit",OR(ISNUMBER(SEARCH("software",C117)),ISNUMBER(SEARCH("tech",C117)),ISNUMBER(SEARCH("systems",C117)),ISNUMBER(SEARCH("digital",C117)),ISNUMBER(SEARCH("engineering",C117)),ISNUMBER(SEARCH("solutions",C117))),"Technology",TRUE,"Other")</f>
        <v>Consulting</v>
      </c>
    </row>
    <row r="118" spans="1:11" x14ac:dyDescent="0.3">
      <c r="A118" s="11" t="s">
        <v>631</v>
      </c>
      <c r="B118" s="11" t="s">
        <v>361</v>
      </c>
      <c r="C118" s="11" t="s">
        <v>632</v>
      </c>
      <c r="D118" s="11" t="s">
        <v>630</v>
      </c>
      <c r="E118" s="17">
        <v>2525000</v>
      </c>
      <c r="F118" s="33">
        <v>46149</v>
      </c>
      <c r="G118" s="12">
        <v>3.75</v>
      </c>
      <c r="H118" s="9">
        <v>88</v>
      </c>
      <c r="I118" s="10" t="s">
        <v>156</v>
      </c>
      <c r="J118" s="10" t="s">
        <v>1050</v>
      </c>
      <c r="K118" s="10" t="s">
        <v>1051</v>
      </c>
    </row>
    <row r="119" spans="1:11" x14ac:dyDescent="0.3">
      <c r="A119" s="4" t="s">
        <v>489</v>
      </c>
      <c r="B119" s="4" t="s">
        <v>361</v>
      </c>
      <c r="C119" s="4" t="s">
        <v>490</v>
      </c>
      <c r="D119" s="4" t="s">
        <v>491</v>
      </c>
      <c r="E119" s="18">
        <v>3600000</v>
      </c>
      <c r="F119" s="5">
        <v>43797</v>
      </c>
      <c r="G119" s="6">
        <v>4.16</v>
      </c>
      <c r="H119" s="9">
        <v>88</v>
      </c>
      <c r="I119" s="10" t="s">
        <v>156</v>
      </c>
      <c r="J119" s="10" t="s">
        <v>1050</v>
      </c>
      <c r="K119" s="10" t="s">
        <v>1067</v>
      </c>
    </row>
    <row r="120" spans="1:11" x14ac:dyDescent="0.3">
      <c r="A120" s="11" t="s">
        <v>377</v>
      </c>
      <c r="B120" s="11" t="s">
        <v>378</v>
      </c>
      <c r="C120" s="11" t="s">
        <v>379</v>
      </c>
      <c r="D120" s="11" t="s">
        <v>380</v>
      </c>
      <c r="E120" s="17">
        <v>4995000</v>
      </c>
      <c r="F120" s="33">
        <v>43202</v>
      </c>
      <c r="G120" s="12">
        <v>4.01</v>
      </c>
      <c r="H120" s="9">
        <v>88</v>
      </c>
      <c r="I120" s="10" t="s">
        <v>1052</v>
      </c>
      <c r="J120" s="10" t="s">
        <v>1050</v>
      </c>
      <c r="K120" s="10" t="s">
        <v>1051</v>
      </c>
    </row>
    <row r="121" spans="1:11" x14ac:dyDescent="0.3">
      <c r="A121" s="11" t="s">
        <v>360</v>
      </c>
      <c r="B121" s="11" t="s">
        <v>361</v>
      </c>
      <c r="C121" s="13" t="s">
        <v>362</v>
      </c>
      <c r="D121" s="13" t="s">
        <v>363</v>
      </c>
      <c r="E121" s="17">
        <v>5500000</v>
      </c>
      <c r="F121" s="33">
        <v>45181</v>
      </c>
      <c r="G121" s="15">
        <v>3.75</v>
      </c>
      <c r="H121" s="9">
        <v>88</v>
      </c>
      <c r="I121" s="10" t="s">
        <v>156</v>
      </c>
      <c r="J121" s="10" t="s">
        <v>1050</v>
      </c>
      <c r="K121" s="10" t="s">
        <v>1051</v>
      </c>
    </row>
    <row r="122" spans="1:11" x14ac:dyDescent="0.3">
      <c r="A122" s="4" t="s">
        <v>339</v>
      </c>
      <c r="B122" s="4" t="s">
        <v>340</v>
      </c>
      <c r="C122" s="4" t="s">
        <v>341</v>
      </c>
      <c r="D122" s="4" t="s">
        <v>342</v>
      </c>
      <c r="E122" s="16">
        <v>5750000</v>
      </c>
      <c r="F122" s="5">
        <v>44326</v>
      </c>
      <c r="G122" s="6">
        <v>4.12</v>
      </c>
      <c r="H122" s="9">
        <v>88</v>
      </c>
      <c r="I122" s="10" t="s">
        <v>156</v>
      </c>
      <c r="J122" s="10" t="s">
        <v>1050</v>
      </c>
      <c r="K122" s="10" t="s">
        <v>1059</v>
      </c>
    </row>
    <row r="123" spans="1:11" x14ac:dyDescent="0.3">
      <c r="A123" s="4" t="s">
        <v>940</v>
      </c>
      <c r="B123" s="4" t="s">
        <v>941</v>
      </c>
      <c r="C123" s="4" t="s">
        <v>942</v>
      </c>
      <c r="D123" s="4" t="s">
        <v>943</v>
      </c>
      <c r="E123" s="20" t="s">
        <v>1280</v>
      </c>
      <c r="F123" s="5">
        <v>43698</v>
      </c>
      <c r="G123" s="6">
        <v>4.22</v>
      </c>
      <c r="H123" s="9">
        <v>88</v>
      </c>
      <c r="I123" s="10" t="s">
        <v>156</v>
      </c>
      <c r="J123" s="10" t="s">
        <v>1050</v>
      </c>
      <c r="K123" s="10" t="s">
        <v>1059</v>
      </c>
    </row>
    <row r="124" spans="1:11" x14ac:dyDescent="0.3">
      <c r="A124" s="4" t="s">
        <v>1213</v>
      </c>
      <c r="B124" s="4" t="s">
        <v>361</v>
      </c>
      <c r="C124" s="4" t="s">
        <v>1214</v>
      </c>
      <c r="D124" s="4" t="s">
        <v>1215</v>
      </c>
      <c r="E124" s="20" t="s">
        <v>1280</v>
      </c>
      <c r="F124" s="5">
        <v>44729</v>
      </c>
      <c r="G124" s="6">
        <v>3.37</v>
      </c>
      <c r="H124" s="9">
        <v>88</v>
      </c>
      <c r="I124" s="10" t="s">
        <v>156</v>
      </c>
      <c r="J124" s="10" t="s">
        <v>1050</v>
      </c>
      <c r="K124" s="10" t="s">
        <v>1059</v>
      </c>
    </row>
    <row r="125" spans="1:11" x14ac:dyDescent="0.3">
      <c r="A125" s="4" t="s">
        <v>914</v>
      </c>
      <c r="B125" s="4" t="s">
        <v>174</v>
      </c>
      <c r="C125" s="4" t="s">
        <v>915</v>
      </c>
      <c r="D125" s="4" t="s">
        <v>916</v>
      </c>
      <c r="E125" s="18">
        <v>1160000</v>
      </c>
      <c r="F125" s="5">
        <v>37825</v>
      </c>
      <c r="G125" s="6">
        <v>3.99</v>
      </c>
      <c r="H125" s="9">
        <v>86</v>
      </c>
      <c r="I125" s="10" t="s">
        <v>174</v>
      </c>
      <c r="J125" s="10" t="s">
        <v>1050</v>
      </c>
      <c r="K125" s="10" t="s">
        <v>1059</v>
      </c>
    </row>
    <row r="126" spans="1:11" x14ac:dyDescent="0.3">
      <c r="A126" s="11" t="s">
        <v>900</v>
      </c>
      <c r="B126" s="11" t="s">
        <v>174</v>
      </c>
      <c r="C126" s="11" t="s">
        <v>901</v>
      </c>
      <c r="D126" s="11" t="s">
        <v>902</v>
      </c>
      <c r="E126" s="17">
        <v>1250000</v>
      </c>
      <c r="F126" s="33">
        <v>38660</v>
      </c>
      <c r="G126" s="12">
        <v>4.29</v>
      </c>
      <c r="H126" s="9">
        <v>86</v>
      </c>
      <c r="I126" s="10" t="s">
        <v>174</v>
      </c>
      <c r="J126" s="10" t="s">
        <v>1050</v>
      </c>
      <c r="K126" s="10" t="s">
        <v>1064</v>
      </c>
    </row>
    <row r="127" spans="1:11" x14ac:dyDescent="0.3">
      <c r="A127" s="4" t="s">
        <v>896</v>
      </c>
      <c r="B127" s="4" t="s">
        <v>174</v>
      </c>
      <c r="C127" s="4" t="s">
        <v>294</v>
      </c>
      <c r="D127" s="4" t="s">
        <v>895</v>
      </c>
      <c r="E127" s="18">
        <v>1252000</v>
      </c>
      <c r="F127" s="5">
        <v>40786</v>
      </c>
      <c r="G127" s="6">
        <v>3.69</v>
      </c>
      <c r="H127" s="9">
        <v>86</v>
      </c>
      <c r="I127" s="10" t="s">
        <v>174</v>
      </c>
      <c r="J127" s="10" t="s">
        <v>1050</v>
      </c>
      <c r="K127" s="10" t="s">
        <v>1054</v>
      </c>
    </row>
    <row r="128" spans="1:11" x14ac:dyDescent="0.3">
      <c r="A128" s="4" t="s">
        <v>873</v>
      </c>
      <c r="B128" s="4" t="s">
        <v>174</v>
      </c>
      <c r="C128" s="4" t="s">
        <v>1523</v>
      </c>
      <c r="D128" s="4" t="s">
        <v>874</v>
      </c>
      <c r="E128" s="18">
        <v>1390000</v>
      </c>
      <c r="F128" s="5">
        <v>38303</v>
      </c>
      <c r="G128" s="6">
        <v>3.95</v>
      </c>
      <c r="H128" s="9">
        <v>86</v>
      </c>
      <c r="I128" s="10" t="s">
        <v>174</v>
      </c>
      <c r="J128" s="10" t="s">
        <v>1050</v>
      </c>
      <c r="K128" s="10" t="s">
        <v>1067</v>
      </c>
    </row>
    <row r="129" spans="1:11" x14ac:dyDescent="0.3">
      <c r="A129" s="7" t="s">
        <v>875</v>
      </c>
      <c r="B129" s="7" t="s">
        <v>174</v>
      </c>
      <c r="C129" s="7" t="s">
        <v>876</v>
      </c>
      <c r="D129" s="7" t="s">
        <v>874</v>
      </c>
      <c r="E129" s="16">
        <v>1390000</v>
      </c>
      <c r="F129" s="34">
        <v>38303</v>
      </c>
      <c r="G129" s="3">
        <v>3.95</v>
      </c>
      <c r="H129" s="9">
        <v>86</v>
      </c>
      <c r="I129" s="10" t="s">
        <v>174</v>
      </c>
      <c r="J129" s="10" t="s">
        <v>1050</v>
      </c>
      <c r="K129" s="10" t="s">
        <v>1064</v>
      </c>
    </row>
    <row r="130" spans="1:11" x14ac:dyDescent="0.3">
      <c r="A130" s="7" t="s">
        <v>196</v>
      </c>
      <c r="B130" s="7" t="s">
        <v>174</v>
      </c>
      <c r="C130" s="7" t="s">
        <v>197</v>
      </c>
      <c r="D130" s="7" t="s">
        <v>198</v>
      </c>
      <c r="E130" s="16">
        <v>1450000</v>
      </c>
      <c r="F130" s="34">
        <v>44985</v>
      </c>
      <c r="G130" s="3">
        <v>4.7229999999999999</v>
      </c>
      <c r="H130" s="9">
        <v>86</v>
      </c>
      <c r="I130" s="10" t="s">
        <v>174</v>
      </c>
      <c r="J130" s="10" t="s">
        <v>1050</v>
      </c>
      <c r="K130" s="10" t="s">
        <v>1068</v>
      </c>
    </row>
    <row r="131" spans="1:11" x14ac:dyDescent="0.3">
      <c r="A131" s="4" t="s">
        <v>193</v>
      </c>
      <c r="B131" s="4" t="s">
        <v>174</v>
      </c>
      <c r="C131" s="4" t="s">
        <v>194</v>
      </c>
      <c r="D131" s="4" t="s">
        <v>195</v>
      </c>
      <c r="E131" s="18">
        <v>1500000</v>
      </c>
      <c r="F131" s="5">
        <v>43740</v>
      </c>
      <c r="G131" s="6">
        <v>4.6159999999999997</v>
      </c>
      <c r="H131" s="9">
        <v>86</v>
      </c>
      <c r="I131" s="10" t="s">
        <v>174</v>
      </c>
      <c r="J131" s="10" t="s">
        <v>1050</v>
      </c>
      <c r="K131" s="10" t="s">
        <v>1066</v>
      </c>
    </row>
    <row r="132" spans="1:11" x14ac:dyDescent="0.3">
      <c r="A132" s="7" t="s">
        <v>203</v>
      </c>
      <c r="B132" s="7" t="s">
        <v>303</v>
      </c>
      <c r="C132" s="7" t="s">
        <v>302</v>
      </c>
      <c r="D132" s="7" t="s">
        <v>165</v>
      </c>
      <c r="E132" s="16">
        <v>1500000</v>
      </c>
      <c r="F132" s="34">
        <v>43433</v>
      </c>
      <c r="G132" s="3">
        <v>4.4859999999999998</v>
      </c>
      <c r="H132" s="9">
        <v>86</v>
      </c>
      <c r="I132" s="10" t="s">
        <v>174</v>
      </c>
      <c r="J132" s="10" t="s">
        <v>1050</v>
      </c>
      <c r="K132" s="10" t="s">
        <v>1059</v>
      </c>
    </row>
    <row r="133" spans="1:11" x14ac:dyDescent="0.3">
      <c r="A133" s="7" t="s">
        <v>847</v>
      </c>
      <c r="B133" s="7" t="s">
        <v>174</v>
      </c>
      <c r="C133" s="7" t="s">
        <v>697</v>
      </c>
      <c r="D133" s="7" t="s">
        <v>848</v>
      </c>
      <c r="E133" s="16">
        <v>1575000</v>
      </c>
      <c r="F133" s="34">
        <v>42248</v>
      </c>
      <c r="G133" s="3">
        <v>3.67</v>
      </c>
      <c r="H133" s="9">
        <v>86</v>
      </c>
      <c r="I133" s="10" t="s">
        <v>174</v>
      </c>
      <c r="J133" s="10" t="s">
        <v>1050</v>
      </c>
      <c r="K133" s="10" t="s">
        <v>1054</v>
      </c>
    </row>
    <row r="134" spans="1:11" x14ac:dyDescent="0.3">
      <c r="A134" s="4" t="s">
        <v>784</v>
      </c>
      <c r="B134" s="4" t="s">
        <v>174</v>
      </c>
      <c r="C134" s="4" t="s">
        <v>785</v>
      </c>
      <c r="D134" s="4" t="s">
        <v>786</v>
      </c>
      <c r="E134" s="18">
        <v>1875000</v>
      </c>
      <c r="F134" s="5">
        <v>42244</v>
      </c>
      <c r="G134" s="6">
        <v>4.24</v>
      </c>
      <c r="H134" s="9">
        <v>86</v>
      </c>
      <c r="I134" s="10" t="s">
        <v>174</v>
      </c>
      <c r="J134" s="10" t="s">
        <v>1050</v>
      </c>
      <c r="K134" s="10" t="s">
        <v>1062</v>
      </c>
    </row>
    <row r="135" spans="1:11" x14ac:dyDescent="0.3">
      <c r="A135" s="27" t="s">
        <v>1310</v>
      </c>
      <c r="B135" s="27" t="s">
        <v>174</v>
      </c>
      <c r="C135" s="27" t="s">
        <v>1311</v>
      </c>
      <c r="D135" s="27" t="s">
        <v>1312</v>
      </c>
      <c r="E135" s="32">
        <v>1950000</v>
      </c>
      <c r="F135" s="28">
        <v>40968</v>
      </c>
      <c r="G135" s="29">
        <v>3.18</v>
      </c>
      <c r="H135" s="30" cm="1">
        <f t="array" ref="H135">_xlfn.IFS(I135="Founder / Owner",IF(ISNUMBER(SEARCH("owner",B135)),80,96),I135="C-Suite",IF(OR(ISNUMBER(SEARCH("ceo",B135)),ISNUMBER(SEARCH("chief executive",B135))),95,91),I135="Managing Director",86,I135="Partner",IF(OR(ISNUMBER(SEARCH("managing partner",B135)),ISNUMBER(SEARCH("general partner",B135))),88,85),I135="VP / Head",_xlfn.IFS(OR(ISNUMBER(SEARCH("vice president",B135)),ISNUMBER(SEARCH("executive vice",B135))),91,ISNUMBER(SEARCH("svp",B135)),77,TRUE,73),I135="Director",IF(ISNUMBER(SEARCH("principal",B135)),72,71),I135="Individual Contributor",32,OR(ISNUMBER(SEARCH("surgeon",B135)),ISNUMBER(SEARCH("physician",B135)),ISNUMBER(SEARCH("doctor",B135)),ISNUMBER(SEARCH("dentist",B135)),ISNUMBER(SEARCH("psychiat",B135)),ISNUMBER(SEARCH("oncolog",B135)),ISNUMBER(SEARCH("neurolog",B135)),ISNUMBER(SEARCH("patholog",B135)),ISNUMBER(SEARCH("medicine",B135)),ISNUMBER(SEARCH("obgyn",B135))),77,OR(ISNUMBER(SEARCH("portfolio manager",B135)),ISNUMBER(SEARCH("wealth advisor",B135))),81,OR(ISNUMBER(SEARCH("lawyer",B135)),ISNUMBER(SEARCH("attorney",B135))),68,ISNUMBER(SEARCH("counsel",B135)),66,ISNUMBER(SEARCH("professor",B135)),63,OR(ISNUMBER(SEARCH("engineer",B135)),ISNUMBER(SEARCH("consultant",B135))),62,ISNUMBER(SEARCH("senior manager",B135)),64,OR(ISNUMBER(SEARCH("realtor",B135)),ISNUMBER(SEARCH("broker",B135)),ISNUMBER(SEARCH("journalist",B135)),ISNUMBER(SEARCH("columnist",B135)),ISNUMBER(SEARCH("trader",B135)),ISNUMBER(SEARCH("actor",B135))),50,TRUE,60)</f>
        <v>86</v>
      </c>
      <c r="I135" s="31" t="str" cm="1">
        <f t="array" ref="I135">_xlfn.LET(_xlpm.p," "&amp;LOWER(SUBSTITUTE(SUBSTITUTE(SUBSTITUTE(B135,",","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5" s="31" t="str" cm="1">
        <f t="array" ref="J135">_xlfn.IFS(H135&gt;=90,"Very High",H135&gt;=80,"High",H135&gt;=56,"Medium",TRUE,"Low")</f>
        <v>High</v>
      </c>
      <c r="K135" s="31" t="str" cm="1">
        <f t="array" ref="K135">_xlfn.IFS(OR(ISNUMBER(SEARCH("hospital",C135)),ISNUMBER(SEARCH("health",C135)),ISNUMBER(SEARCH("medical",C135)),ISNUMBER(SEARCH("clinic",C135)),ISNUMBER(SEARCH("nursing",C135)),ISNUMBER(SEARCH("care cent",C135)),ISNUMBER(SEARCH("physician",B135)),ISNUMBER(SEARCH("doctor",B135)),ISNUMBER(SEARCH("dentist",B135)),ISNUMBER(SEARCH("surgeon",B135)),ISNUMBER(SEARCH("psychiat",B135)),ISNUMBER(SEARCH("medicine",B135))),"Healthcare",OR(ISNUMBER(SEARCH("llp",C135)),ISNUMBER(SEARCH("lawyer",B135)),ISNUMBER(SEARCH("attorney",B135)),ISNUMBER(SEARCH("legal",C135)),ISNUMBER(SEARCH("tetrault",C135)),ISNUMBER(SEARCH("morley",C135)),ISNUMBER(SEARCH("blg",C135)),ISNUMBER(SEARCH("lowy",C135)),ISNUMBER(SEARCH("riley",C135)),ISNUMBER(SEARCH("toomath",C135))),"Law",OR(ISNUMBER(SEARCH("reit",C135)),ISNUMBER(SEARCH("properties",C135)),ISNUMBER(SEARCH("realty",C135)),ISNUMBER(SEARCH("realtor",B135)),ISNUMBER(SEARCH("colliers",C135)),ISNUMBER(SEARCH("re/max",C135)),ISNUMBER(SEARCH("quadreal",C135)),ISNUMBER(SEARCH("vic management",C135))),"Real Estate",OR(ISNUMBER(SEARCH("deloitte",C135)),ISNUMBER(SEARCH("kpmg",C135)),ISNUMBER(SEARCH("pwc",C135)),ISNUMBER(SEARCH("consulting",C135)),ISNUMBER(SEARCH("consultant",B135)),ISNUMBER(SEARCH("advisory",C135)),ISNUMBER(SEARCH("philanthropic",C135)),ISNUMBER(SEARCH("argyle",C135)),ISNUMBER(SEARCH("quinn",C135))),"Consulting",OR(ISNUMBER(SEARCH("media",C135)),ISNUMBER(SEARCH("news",C135)),ISNUMBER(SEARCH("radio",C135)),ISNUMBER(SEARCH("film",C135)),ISNUMBER(SEARCH("journalist",B135)),ISNUMBER(SEARCH("columnist",B135)),ISNUMBER(SEARCH("globe",C135)),ISNUMBER(SEARCH("marketing",C135)),ISNUMBER(SEARCH("actor",B135))),"Media",OR(ISNUMBER(SEARCH("rbc",C135)),ISNUMBER(SEARCH("cibc",C135)),ISNUMBER(SEARCH("bmo",C135)),ISNUMBER(SEARCH("scotia",C135)),ISNUMBER(SEARCH("bank",C135)),ISNUMBER(SEARCH("capital",C135)),ISNUMBER(SEARCH("wealth",C135)),ISNUMBER(SEARCH("financial",C135)),ISNUMBER(SEARCH("securities",C135)),ISNUMBER(SEARCH("fidelity",C135)),ISNUMBER(SEARCH("guardian",C135)),ISNUMBER(SEARCH("wealthsimple",C135)),ISNUMBER(SEARCH("credit suisse",C135)),ISNUMBER(SEARCH("tmx",C135)),ISNUMBER(SEARCH("investors",C135)),ISNUMBER(SEARCH("trader",B135))),"Finance",OR(ISNUMBER(SEARCH("ventures",C135)),ISNUMBER(SEARCH("private equity",B135)),ISNUMBER(SEARCH("capital partners",C135))),"Private Equity / VC",OR(ISNUMBER(SEARCH("government",C135)),ISNUMBER(SEARCH("ministry",C135)),ISNUMBER(SEARCH("tribunal",C135)),ISNUMBER(SEARCH("tdsb",C135)),ISNUMBER(SEARCH("public service",C135))),"Government",OR(ISNUMBER(SEARCH("association",C135)),ISNUMBER(SEARCH("institute",C135)),ISNUMBER(SEARCH("foundation",C135))),"Nonprofit",OR(ISNUMBER(SEARCH("software",C135)),ISNUMBER(SEARCH("tech",C135)),ISNUMBER(SEARCH("systems",C135)),ISNUMBER(SEARCH("digital",C135)),ISNUMBER(SEARCH("engineering",C135)),ISNUMBER(SEARCH("solutions",C135))),"Technology",TRUE,"Other")</f>
        <v>Finance</v>
      </c>
    </row>
    <row r="136" spans="1:11" x14ac:dyDescent="0.3">
      <c r="A136" s="4" t="s">
        <v>743</v>
      </c>
      <c r="B136" s="4" t="s">
        <v>174</v>
      </c>
      <c r="C136" s="4" t="s">
        <v>744</v>
      </c>
      <c r="D136" s="4" t="s">
        <v>745</v>
      </c>
      <c r="E136" s="18">
        <v>2070000</v>
      </c>
      <c r="F136" s="5">
        <v>40633</v>
      </c>
      <c r="G136" s="6">
        <v>4.0999999999999996</v>
      </c>
      <c r="H136" s="9">
        <v>86</v>
      </c>
      <c r="I136" s="10" t="s">
        <v>174</v>
      </c>
      <c r="J136" s="10" t="s">
        <v>1050</v>
      </c>
      <c r="K136" s="10" t="s">
        <v>1054</v>
      </c>
    </row>
    <row r="137" spans="1:11" x14ac:dyDescent="0.3">
      <c r="A137" s="4" t="s">
        <v>1161</v>
      </c>
      <c r="B137" s="4" t="s">
        <v>174</v>
      </c>
      <c r="C137" s="4" t="s">
        <v>294</v>
      </c>
      <c r="D137" s="4" t="s">
        <v>1162</v>
      </c>
      <c r="E137" s="18">
        <v>2200000</v>
      </c>
      <c r="F137" s="5">
        <v>42614</v>
      </c>
      <c r="G137" s="3">
        <v>3.27</v>
      </c>
      <c r="H137" s="9">
        <v>86</v>
      </c>
      <c r="I137" s="10" t="s">
        <v>174</v>
      </c>
      <c r="J137" s="10" t="s">
        <v>1050</v>
      </c>
      <c r="K137" s="10" t="s">
        <v>1054</v>
      </c>
    </row>
    <row r="138" spans="1:11" x14ac:dyDescent="0.3">
      <c r="A138" s="4" t="s">
        <v>723</v>
      </c>
      <c r="B138" s="4" t="s">
        <v>174</v>
      </c>
      <c r="C138" s="4" t="s">
        <v>1522</v>
      </c>
      <c r="D138" s="4" t="s">
        <v>724</v>
      </c>
      <c r="E138" s="18">
        <v>2247619</v>
      </c>
      <c r="F138" s="5">
        <v>40343</v>
      </c>
      <c r="G138" s="6">
        <v>3.9</v>
      </c>
      <c r="H138" s="9">
        <v>86</v>
      </c>
      <c r="I138" s="10" t="s">
        <v>174</v>
      </c>
      <c r="J138" s="10" t="s">
        <v>1050</v>
      </c>
      <c r="K138" s="10" t="s">
        <v>1054</v>
      </c>
    </row>
    <row r="139" spans="1:11" x14ac:dyDescent="0.3">
      <c r="A139" s="4" t="s">
        <v>696</v>
      </c>
      <c r="B139" s="4" t="s">
        <v>174</v>
      </c>
      <c r="C139" s="4" t="s">
        <v>697</v>
      </c>
      <c r="D139" s="4" t="s">
        <v>698</v>
      </c>
      <c r="E139" s="18">
        <v>2300000</v>
      </c>
      <c r="F139" s="5">
        <v>41480</v>
      </c>
      <c r="G139" s="3">
        <v>4.09</v>
      </c>
      <c r="H139" s="9">
        <v>86</v>
      </c>
      <c r="I139" s="10" t="s">
        <v>174</v>
      </c>
      <c r="J139" s="10" t="s">
        <v>1050</v>
      </c>
      <c r="K139" s="10" t="s">
        <v>1054</v>
      </c>
    </row>
    <row r="140" spans="1:11" x14ac:dyDescent="0.3">
      <c r="A140" s="7" t="s">
        <v>681</v>
      </c>
      <c r="B140" s="7" t="s">
        <v>174</v>
      </c>
      <c r="C140" s="7" t="s">
        <v>504</v>
      </c>
      <c r="D140" s="7" t="s">
        <v>682</v>
      </c>
      <c r="E140" s="16">
        <v>2350000</v>
      </c>
      <c r="F140" s="34">
        <v>42936</v>
      </c>
      <c r="G140" s="3">
        <v>4.22</v>
      </c>
      <c r="H140" s="9">
        <v>86</v>
      </c>
      <c r="I140" s="10" t="s">
        <v>174</v>
      </c>
      <c r="J140" s="10" t="s">
        <v>1050</v>
      </c>
      <c r="K140" s="10" t="s">
        <v>1065</v>
      </c>
    </row>
    <row r="141" spans="1:11" x14ac:dyDescent="0.3">
      <c r="A141" s="4" t="s">
        <v>647</v>
      </c>
      <c r="B141" s="4" t="s">
        <v>174</v>
      </c>
      <c r="C141" s="4" t="s">
        <v>1531</v>
      </c>
      <c r="D141" s="4" t="s">
        <v>648</v>
      </c>
      <c r="E141" s="18">
        <v>2400003</v>
      </c>
      <c r="F141" s="5">
        <v>42208</v>
      </c>
      <c r="G141" s="6">
        <v>3.92</v>
      </c>
      <c r="H141" s="9">
        <v>86</v>
      </c>
      <c r="I141" s="10" t="s">
        <v>174</v>
      </c>
      <c r="J141" s="10" t="s">
        <v>1050</v>
      </c>
      <c r="K141" s="10" t="s">
        <v>1065</v>
      </c>
    </row>
    <row r="142" spans="1:11" x14ac:dyDescent="0.3">
      <c r="A142" s="4" t="s">
        <v>649</v>
      </c>
      <c r="B142" s="4" t="s">
        <v>174</v>
      </c>
      <c r="C142" s="4" t="s">
        <v>650</v>
      </c>
      <c r="D142" s="4" t="s">
        <v>648</v>
      </c>
      <c r="E142" s="18">
        <v>2400003</v>
      </c>
      <c r="F142" s="5">
        <v>42208</v>
      </c>
      <c r="G142" s="6">
        <v>3.92</v>
      </c>
      <c r="H142" s="9">
        <v>86</v>
      </c>
      <c r="I142" s="10" t="s">
        <v>174</v>
      </c>
      <c r="J142" s="10" t="s">
        <v>1050</v>
      </c>
      <c r="K142" s="10" t="s">
        <v>1054</v>
      </c>
    </row>
    <row r="143" spans="1:11" x14ac:dyDescent="0.3">
      <c r="A143" s="4" t="s">
        <v>633</v>
      </c>
      <c r="B143" s="4" t="s">
        <v>174</v>
      </c>
      <c r="C143" s="4" t="s">
        <v>634</v>
      </c>
      <c r="D143" s="4" t="s">
        <v>635</v>
      </c>
      <c r="E143" s="18">
        <v>2450000</v>
      </c>
      <c r="F143" s="5">
        <v>44074</v>
      </c>
      <c r="G143" s="6">
        <v>4.0199999999999996</v>
      </c>
      <c r="H143" s="9">
        <v>86</v>
      </c>
      <c r="I143" s="10" t="s">
        <v>174</v>
      </c>
      <c r="J143" s="10" t="s">
        <v>1050</v>
      </c>
      <c r="K143" s="10" t="s">
        <v>1054</v>
      </c>
    </row>
    <row r="144" spans="1:11" x14ac:dyDescent="0.3">
      <c r="A144" s="4" t="s">
        <v>183</v>
      </c>
      <c r="B144" s="4" t="s">
        <v>174</v>
      </c>
      <c r="C144" s="4" t="s">
        <v>184</v>
      </c>
      <c r="D144" s="4" t="s">
        <v>185</v>
      </c>
      <c r="E144" s="18">
        <v>2453000</v>
      </c>
      <c r="F144" s="5">
        <v>44439</v>
      </c>
      <c r="G144" s="6">
        <v>4.6609999999999996</v>
      </c>
      <c r="H144" s="9">
        <v>86</v>
      </c>
      <c r="I144" s="10" t="s">
        <v>174</v>
      </c>
      <c r="J144" s="10" t="s">
        <v>1050</v>
      </c>
      <c r="K144" s="10" t="s">
        <v>1054</v>
      </c>
    </row>
    <row r="145" spans="1:11" x14ac:dyDescent="0.3">
      <c r="A145" s="4" t="s">
        <v>155</v>
      </c>
      <c r="B145" s="4" t="s">
        <v>174</v>
      </c>
      <c r="C145" s="4" t="s">
        <v>175</v>
      </c>
      <c r="D145" s="4" t="s">
        <v>154</v>
      </c>
      <c r="E145" s="18">
        <v>2525000</v>
      </c>
      <c r="F145" s="5">
        <v>44826</v>
      </c>
      <c r="G145" s="6">
        <v>4.673</v>
      </c>
      <c r="H145" s="9">
        <v>86</v>
      </c>
      <c r="I145" s="10" t="s">
        <v>174</v>
      </c>
      <c r="J145" s="10" t="s">
        <v>1050</v>
      </c>
      <c r="K145" s="10" t="s">
        <v>1065</v>
      </c>
    </row>
    <row r="146" spans="1:11" x14ac:dyDescent="0.3">
      <c r="A146" s="4" t="s">
        <v>610</v>
      </c>
      <c r="B146" s="4" t="s">
        <v>611</v>
      </c>
      <c r="C146" s="4" t="s">
        <v>1073</v>
      </c>
      <c r="D146" s="4" t="s">
        <v>612</v>
      </c>
      <c r="E146" s="18">
        <v>2587000</v>
      </c>
      <c r="F146" s="5">
        <v>42326</v>
      </c>
      <c r="G146" s="6">
        <v>4.0599999999999996</v>
      </c>
      <c r="H146" s="9">
        <v>86</v>
      </c>
      <c r="I146" s="10" t="s">
        <v>174</v>
      </c>
      <c r="J146" s="10" t="s">
        <v>1050</v>
      </c>
      <c r="K146" s="10" t="s">
        <v>1065</v>
      </c>
    </row>
    <row r="147" spans="1:11" x14ac:dyDescent="0.3">
      <c r="A147" s="11" t="s">
        <v>607</v>
      </c>
      <c r="B147" s="11" t="s">
        <v>174</v>
      </c>
      <c r="C147" s="11" t="s">
        <v>608</v>
      </c>
      <c r="D147" s="11" t="s">
        <v>609</v>
      </c>
      <c r="E147" s="17">
        <v>2620000</v>
      </c>
      <c r="F147" s="33">
        <v>43122</v>
      </c>
      <c r="G147" s="12">
        <v>4.01</v>
      </c>
      <c r="H147" s="9">
        <v>86</v>
      </c>
      <c r="I147" s="10" t="s">
        <v>174</v>
      </c>
      <c r="J147" s="10" t="s">
        <v>1050</v>
      </c>
      <c r="K147" s="10" t="s">
        <v>1064</v>
      </c>
    </row>
    <row r="148" spans="1:11" x14ac:dyDescent="0.3">
      <c r="A148" s="27" t="s">
        <v>1293</v>
      </c>
      <c r="B148" s="27" t="s">
        <v>174</v>
      </c>
      <c r="C148" s="27" t="s">
        <v>1294</v>
      </c>
      <c r="D148" s="27" t="s">
        <v>1295</v>
      </c>
      <c r="E148" s="32">
        <v>2735000</v>
      </c>
      <c r="F148" s="28">
        <v>45841</v>
      </c>
      <c r="G148" s="29">
        <v>3.06</v>
      </c>
      <c r="H148" s="30" cm="1">
        <f t="array" ref="H148">_xlfn.IFS(I148="Founder / Owner",IF(ISNUMBER(SEARCH("owner",B148)),80,96),I148="C-Suite",IF(OR(ISNUMBER(SEARCH("ceo",B148)),ISNUMBER(SEARCH("chief executive",B148))),95,91),I148="Managing Director",86,I148="Partner",IF(OR(ISNUMBER(SEARCH("managing partner",B148)),ISNUMBER(SEARCH("general partner",B148))),88,85),I148="VP / Head",_xlfn.IFS(OR(ISNUMBER(SEARCH("vice president",B148)),ISNUMBER(SEARCH("executive vice",B148))),91,ISNUMBER(SEARCH("svp",B148)),77,TRUE,73),I148="Director",IF(ISNUMBER(SEARCH("principal",B148)),72,71),I148="Individual Contributor",32,OR(ISNUMBER(SEARCH("surgeon",B148)),ISNUMBER(SEARCH("physician",B148)),ISNUMBER(SEARCH("doctor",B148)),ISNUMBER(SEARCH("dentist",B148)),ISNUMBER(SEARCH("psychiat",B148)),ISNUMBER(SEARCH("oncolog",B148)),ISNUMBER(SEARCH("neurolog",B148)),ISNUMBER(SEARCH("patholog",B148)),ISNUMBER(SEARCH("medicine",B148)),ISNUMBER(SEARCH("obgyn",B148))),77,OR(ISNUMBER(SEARCH("portfolio manager",B148)),ISNUMBER(SEARCH("wealth advisor",B148))),81,OR(ISNUMBER(SEARCH("lawyer",B148)),ISNUMBER(SEARCH("attorney",B148))),68,ISNUMBER(SEARCH("counsel",B148)),66,ISNUMBER(SEARCH("professor",B148)),63,OR(ISNUMBER(SEARCH("engineer",B148)),ISNUMBER(SEARCH("consultant",B148))),62,ISNUMBER(SEARCH("senior manager",B148)),64,OR(ISNUMBER(SEARCH("realtor",B148)),ISNUMBER(SEARCH("broker",B148)),ISNUMBER(SEARCH("journalist",B148)),ISNUMBER(SEARCH("columnist",B148)),ISNUMBER(SEARCH("trader",B148)),ISNUMBER(SEARCH("actor",B148))),50,TRUE,60)</f>
        <v>86</v>
      </c>
      <c r="I148" s="31" t="str" cm="1">
        <f t="array" ref="I148">_xlfn.LET(_xlpm.p," "&amp;LOWER(SUBSTITUTE(SUBSTITUTE(SUBSTITUTE(B148,",","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8" s="31" t="str" cm="1">
        <f t="array" ref="J148">_xlfn.IFS(H148&gt;=90,"Very High",H148&gt;=80,"High",H148&gt;=56,"Medium",TRUE,"Low")</f>
        <v>High</v>
      </c>
      <c r="K148" s="31" t="str" cm="1">
        <f t="array" ref="K148">_xlfn.IFS(OR(ISNUMBER(SEARCH("hospital",C148)),ISNUMBER(SEARCH("health",C148)),ISNUMBER(SEARCH("medical",C148)),ISNUMBER(SEARCH("clinic",C148)),ISNUMBER(SEARCH("nursing",C148)),ISNUMBER(SEARCH("care cent",C148)),ISNUMBER(SEARCH("physician",B148)),ISNUMBER(SEARCH("doctor",B148)),ISNUMBER(SEARCH("dentist",B148)),ISNUMBER(SEARCH("surgeon",B148)),ISNUMBER(SEARCH("psychiat",B148)),ISNUMBER(SEARCH("medicine",B148))),"Healthcare",OR(ISNUMBER(SEARCH("llp",C148)),ISNUMBER(SEARCH("lawyer",B148)),ISNUMBER(SEARCH("attorney",B148)),ISNUMBER(SEARCH("legal",C148)),ISNUMBER(SEARCH("tetrault",C148)),ISNUMBER(SEARCH("morley",C148)),ISNUMBER(SEARCH("blg",C148)),ISNUMBER(SEARCH("lowy",C148)),ISNUMBER(SEARCH("riley",C148)),ISNUMBER(SEARCH("toomath",C148))),"Law",OR(ISNUMBER(SEARCH("reit",C148)),ISNUMBER(SEARCH("properties",C148)),ISNUMBER(SEARCH("realty",C148)),ISNUMBER(SEARCH("realtor",B148)),ISNUMBER(SEARCH("colliers",C148)),ISNUMBER(SEARCH("re/max",C148)),ISNUMBER(SEARCH("quadreal",C148)),ISNUMBER(SEARCH("vic management",C148))),"Real Estate",OR(ISNUMBER(SEARCH("deloitte",C148)),ISNUMBER(SEARCH("kpmg",C148)),ISNUMBER(SEARCH("pwc",C148)),ISNUMBER(SEARCH("consulting",C148)),ISNUMBER(SEARCH("consultant",B148)),ISNUMBER(SEARCH("advisory",C148)),ISNUMBER(SEARCH("philanthropic",C148)),ISNUMBER(SEARCH("argyle",C148)),ISNUMBER(SEARCH("quinn",C148))),"Consulting",OR(ISNUMBER(SEARCH("media",C148)),ISNUMBER(SEARCH("news",C148)),ISNUMBER(SEARCH("radio",C148)),ISNUMBER(SEARCH("film",C148)),ISNUMBER(SEARCH("journalist",B148)),ISNUMBER(SEARCH("columnist",B148)),ISNUMBER(SEARCH("globe",C148)),ISNUMBER(SEARCH("marketing",C148)),ISNUMBER(SEARCH("actor",B148))),"Media",OR(ISNUMBER(SEARCH("rbc",C148)),ISNUMBER(SEARCH("cibc",C148)),ISNUMBER(SEARCH("bmo",C148)),ISNUMBER(SEARCH("scotia",C148)),ISNUMBER(SEARCH("bank",C148)),ISNUMBER(SEARCH("capital",C148)),ISNUMBER(SEARCH("wealth",C148)),ISNUMBER(SEARCH("financial",C148)),ISNUMBER(SEARCH("securities",C148)),ISNUMBER(SEARCH("fidelity",C148)),ISNUMBER(SEARCH("guardian",C148)),ISNUMBER(SEARCH("wealthsimple",C148)),ISNUMBER(SEARCH("credit suisse",C148)),ISNUMBER(SEARCH("tmx",C148)),ISNUMBER(SEARCH("investors",C148)),ISNUMBER(SEARCH("trader",B148))),"Finance",OR(ISNUMBER(SEARCH("ventures",C148)),ISNUMBER(SEARCH("private equity",B148)),ISNUMBER(SEARCH("capital partners",C148))),"Private Equity / VC",OR(ISNUMBER(SEARCH("government",C148)),ISNUMBER(SEARCH("ministry",C148)),ISNUMBER(SEARCH("tribunal",C148)),ISNUMBER(SEARCH("tdsb",C148)),ISNUMBER(SEARCH("public service",C148))),"Government",OR(ISNUMBER(SEARCH("association",C148)),ISNUMBER(SEARCH("institute",C148)),ISNUMBER(SEARCH("foundation",C148))),"Nonprofit",OR(ISNUMBER(SEARCH("software",C148)),ISNUMBER(SEARCH("tech",C148)),ISNUMBER(SEARCH("systems",C148)),ISNUMBER(SEARCH("digital",C148)),ISNUMBER(SEARCH("engineering",C148)),ISNUMBER(SEARCH("solutions",C148))),"Technology",TRUE,"Other")</f>
        <v>Consulting</v>
      </c>
    </row>
    <row r="149" spans="1:11" x14ac:dyDescent="0.3">
      <c r="A149" s="4" t="s">
        <v>589</v>
      </c>
      <c r="B149" s="4" t="s">
        <v>174</v>
      </c>
      <c r="C149" s="4" t="s">
        <v>325</v>
      </c>
      <c r="D149" s="4" t="s">
        <v>590</v>
      </c>
      <c r="E149" s="18">
        <v>2800000</v>
      </c>
      <c r="F149" s="5">
        <v>41879</v>
      </c>
      <c r="G149" s="6">
        <v>4.0199999999999996</v>
      </c>
      <c r="H149" s="9">
        <v>86</v>
      </c>
      <c r="I149" s="10" t="s">
        <v>174</v>
      </c>
      <c r="J149" s="10" t="s">
        <v>1050</v>
      </c>
      <c r="K149" s="10" t="s">
        <v>1054</v>
      </c>
    </row>
    <row r="150" spans="1:11" x14ac:dyDescent="0.3">
      <c r="A150" s="27" t="s">
        <v>1289</v>
      </c>
      <c r="B150" s="27" t="s">
        <v>174</v>
      </c>
      <c r="C150" s="27" t="s">
        <v>1456</v>
      </c>
      <c r="D150" s="27" t="s">
        <v>1290</v>
      </c>
      <c r="E150" s="32">
        <v>2850000</v>
      </c>
      <c r="F150" s="28">
        <v>44732</v>
      </c>
      <c r="G150" s="29">
        <v>2.93</v>
      </c>
      <c r="H150" s="30" cm="1">
        <f t="array" ref="H150">_xlfn.IFS(I150="Founder / Owner",IF(ISNUMBER(SEARCH("owner",B150)),80,96),I150="C-Suite",IF(OR(ISNUMBER(SEARCH("ceo",B150)),ISNUMBER(SEARCH("chief executive",B150))),95,91),I150="Managing Director",86,I150="Partner",IF(OR(ISNUMBER(SEARCH("managing partner",B150)),ISNUMBER(SEARCH("general partner",B150))),88,85),I150="VP / Head",_xlfn.IFS(OR(ISNUMBER(SEARCH("vice president",B150)),ISNUMBER(SEARCH("executive vice",B150))),91,ISNUMBER(SEARCH("svp",B150)),77,TRUE,73),I150="Director",IF(ISNUMBER(SEARCH("principal",B150)),72,71),I150="Individual Contributor",32,OR(ISNUMBER(SEARCH("surgeon",B150)),ISNUMBER(SEARCH("physician",B150)),ISNUMBER(SEARCH("doctor",B150)),ISNUMBER(SEARCH("dentist",B150)),ISNUMBER(SEARCH("psychiat",B150)),ISNUMBER(SEARCH("oncolog",B150)),ISNUMBER(SEARCH("neurolog",B150)),ISNUMBER(SEARCH("patholog",B150)),ISNUMBER(SEARCH("medicine",B150)),ISNUMBER(SEARCH("obgyn",B150))),77,OR(ISNUMBER(SEARCH("portfolio manager",B150)),ISNUMBER(SEARCH("wealth advisor",B150))),81,OR(ISNUMBER(SEARCH("lawyer",B150)),ISNUMBER(SEARCH("attorney",B150))),68,ISNUMBER(SEARCH("counsel",B150)),66,ISNUMBER(SEARCH("professor",B150)),63,OR(ISNUMBER(SEARCH("engineer",B150)),ISNUMBER(SEARCH("consultant",B150))),62,ISNUMBER(SEARCH("senior manager",B150)),64,OR(ISNUMBER(SEARCH("realtor",B150)),ISNUMBER(SEARCH("broker",B150)),ISNUMBER(SEARCH("journalist",B150)),ISNUMBER(SEARCH("columnist",B150)),ISNUMBER(SEARCH("trader",B150)),ISNUMBER(SEARCH("actor",B150))),50,TRUE,60)</f>
        <v>86</v>
      </c>
      <c r="I150" s="31" t="str" cm="1">
        <f t="array" ref="I150">_xlfn.LET(_xlpm.p," "&amp;LOWER(SUBSTITUTE(SUBSTITUTE(SUBSTITUTE(B150,",","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0" s="31" t="str" cm="1">
        <f t="array" ref="J150">_xlfn.IFS(H150&gt;=90,"Very High",H150&gt;=80,"High",H150&gt;=56,"Medium",TRUE,"Low")</f>
        <v>High</v>
      </c>
      <c r="K150" s="31" t="str" cm="1">
        <f t="array" ref="K150">_xlfn.IFS(OR(ISNUMBER(SEARCH("hospital",C150)),ISNUMBER(SEARCH("health",C150)),ISNUMBER(SEARCH("medical",C150)),ISNUMBER(SEARCH("clinic",C150)),ISNUMBER(SEARCH("nursing",C150)),ISNUMBER(SEARCH("care cent",C150)),ISNUMBER(SEARCH("physician",B150)),ISNUMBER(SEARCH("doctor",B150)),ISNUMBER(SEARCH("dentist",B150)),ISNUMBER(SEARCH("surgeon",B150)),ISNUMBER(SEARCH("psychiat",B150)),ISNUMBER(SEARCH("medicine",B150))),"Healthcare",OR(ISNUMBER(SEARCH("llp",C150)),ISNUMBER(SEARCH("lawyer",B150)),ISNUMBER(SEARCH("attorney",B150)),ISNUMBER(SEARCH("legal",C150)),ISNUMBER(SEARCH("tetrault",C150)),ISNUMBER(SEARCH("morley",C150)),ISNUMBER(SEARCH("blg",C150)),ISNUMBER(SEARCH("lowy",C150)),ISNUMBER(SEARCH("riley",C150)),ISNUMBER(SEARCH("toomath",C150))),"Law",OR(ISNUMBER(SEARCH("reit",C150)),ISNUMBER(SEARCH("properties",C150)),ISNUMBER(SEARCH("realty",C150)),ISNUMBER(SEARCH("realtor",B150)),ISNUMBER(SEARCH("colliers",C150)),ISNUMBER(SEARCH("re/max",C150)),ISNUMBER(SEARCH("quadreal",C150)),ISNUMBER(SEARCH("vic management",C150))),"Real Estate",OR(ISNUMBER(SEARCH("deloitte",C150)),ISNUMBER(SEARCH("kpmg",C150)),ISNUMBER(SEARCH("pwc",C150)),ISNUMBER(SEARCH("consulting",C150)),ISNUMBER(SEARCH("consultant",B150)),ISNUMBER(SEARCH("advisory",C150)),ISNUMBER(SEARCH("philanthropic",C150)),ISNUMBER(SEARCH("argyle",C150)),ISNUMBER(SEARCH("quinn",C150))),"Consulting",OR(ISNUMBER(SEARCH("media",C150)),ISNUMBER(SEARCH("news",C150)),ISNUMBER(SEARCH("radio",C150)),ISNUMBER(SEARCH("film",C150)),ISNUMBER(SEARCH("journalist",B150)),ISNUMBER(SEARCH("columnist",B150)),ISNUMBER(SEARCH("globe",C150)),ISNUMBER(SEARCH("marketing",C150)),ISNUMBER(SEARCH("actor",B150))),"Media",OR(ISNUMBER(SEARCH("rbc",C150)),ISNUMBER(SEARCH("cibc",C150)),ISNUMBER(SEARCH("bmo",C150)),ISNUMBER(SEARCH("scotia",C150)),ISNUMBER(SEARCH("bank",C150)),ISNUMBER(SEARCH("capital",C150)),ISNUMBER(SEARCH("wealth",C150)),ISNUMBER(SEARCH("financial",C150)),ISNUMBER(SEARCH("securities",C150)),ISNUMBER(SEARCH("fidelity",C150)),ISNUMBER(SEARCH("guardian",C150)),ISNUMBER(SEARCH("wealthsimple",C150)),ISNUMBER(SEARCH("credit suisse",C150)),ISNUMBER(SEARCH("tmx",C150)),ISNUMBER(SEARCH("investors",C150)),ISNUMBER(SEARCH("trader",B150))),"Finance",OR(ISNUMBER(SEARCH("ventures",C150)),ISNUMBER(SEARCH("private equity",B150)),ISNUMBER(SEARCH("capital partners",C150))),"Private Equity / VC",OR(ISNUMBER(SEARCH("government",C150)),ISNUMBER(SEARCH("ministry",C150)),ISNUMBER(SEARCH("tribunal",C150)),ISNUMBER(SEARCH("tdsb",C150)),ISNUMBER(SEARCH("public service",C150))),"Government",OR(ISNUMBER(SEARCH("association",C150)),ISNUMBER(SEARCH("institute",C150)),ISNUMBER(SEARCH("foundation",C150))),"Nonprofit",OR(ISNUMBER(SEARCH("software",C150)),ISNUMBER(SEARCH("tech",C150)),ISNUMBER(SEARCH("systems",C150)),ISNUMBER(SEARCH("digital",C150)),ISNUMBER(SEARCH("engineering",C150)),ISNUMBER(SEARCH("solutions",C150))),"Technology",TRUE,"Other")</f>
        <v>Consulting</v>
      </c>
    </row>
    <row r="151" spans="1:11" x14ac:dyDescent="0.3">
      <c r="A151" s="11" t="s">
        <v>575</v>
      </c>
      <c r="B151" s="11" t="s">
        <v>174</v>
      </c>
      <c r="C151" s="11" t="s">
        <v>576</v>
      </c>
      <c r="D151" s="11" t="s">
        <v>574</v>
      </c>
      <c r="E151" s="17">
        <v>2895000</v>
      </c>
      <c r="F151" s="33">
        <v>42293</v>
      </c>
      <c r="G151" s="12">
        <v>3.84</v>
      </c>
      <c r="H151" s="9">
        <v>86</v>
      </c>
      <c r="I151" s="10" t="s">
        <v>174</v>
      </c>
      <c r="J151" s="10" t="s">
        <v>1050</v>
      </c>
      <c r="K151" s="10" t="s">
        <v>1054</v>
      </c>
    </row>
    <row r="152" spans="1:11" x14ac:dyDescent="0.3">
      <c r="A152" s="4" t="s">
        <v>562</v>
      </c>
      <c r="B152" s="4" t="s">
        <v>174</v>
      </c>
      <c r="C152" s="4" t="s">
        <v>563</v>
      </c>
      <c r="D152" s="4" t="s">
        <v>564</v>
      </c>
      <c r="E152" s="18">
        <v>2981000</v>
      </c>
      <c r="F152" s="5">
        <v>45446</v>
      </c>
      <c r="G152" s="6">
        <v>4.17</v>
      </c>
      <c r="H152" s="9">
        <v>86</v>
      </c>
      <c r="I152" s="10" t="s">
        <v>174</v>
      </c>
      <c r="J152" s="10" t="s">
        <v>1050</v>
      </c>
      <c r="K152" s="10" t="s">
        <v>1051</v>
      </c>
    </row>
    <row r="153" spans="1:11" x14ac:dyDescent="0.3">
      <c r="A153" s="4" t="s">
        <v>535</v>
      </c>
      <c r="B153" s="4" t="s">
        <v>536</v>
      </c>
      <c r="C153" s="4" t="s">
        <v>537</v>
      </c>
      <c r="D153" s="4" t="s">
        <v>538</v>
      </c>
      <c r="E153" s="18">
        <v>3150000</v>
      </c>
      <c r="F153" s="5">
        <v>42391</v>
      </c>
      <c r="G153" s="6">
        <v>4.05</v>
      </c>
      <c r="H153" s="9">
        <v>86</v>
      </c>
      <c r="I153" s="10" t="s">
        <v>174</v>
      </c>
      <c r="J153" s="10" t="s">
        <v>1050</v>
      </c>
      <c r="K153" s="10" t="s">
        <v>1054</v>
      </c>
    </row>
    <row r="154" spans="1:11" x14ac:dyDescent="0.3">
      <c r="A154" s="27" t="s">
        <v>1284</v>
      </c>
      <c r="B154" s="27" t="s">
        <v>174</v>
      </c>
      <c r="C154" s="27" t="s">
        <v>1489</v>
      </c>
      <c r="D154" s="27" t="s">
        <v>1285</v>
      </c>
      <c r="E154" s="32">
        <v>3175000</v>
      </c>
      <c r="F154" s="28">
        <v>43643</v>
      </c>
      <c r="G154" s="29">
        <v>2.98</v>
      </c>
      <c r="H154" s="30" cm="1">
        <f t="array" ref="H154">_xlfn.IFS(I154="Founder / Owner",IF(ISNUMBER(SEARCH("owner",B154)),80,96),I154="C-Suite",IF(OR(ISNUMBER(SEARCH("ceo",B154)),ISNUMBER(SEARCH("chief executive",B154))),95,91),I154="Managing Director",86,I154="Partner",IF(OR(ISNUMBER(SEARCH("managing partner",B154)),ISNUMBER(SEARCH("general partner",B154))),88,85),I154="VP / Head",_xlfn.IFS(OR(ISNUMBER(SEARCH("vice president",B154)),ISNUMBER(SEARCH("executive vice",B154))),91,ISNUMBER(SEARCH("svp",B154)),77,TRUE,73),I154="Director",IF(ISNUMBER(SEARCH("principal",B154)),72,71),I154="Individual Contributor",32,OR(ISNUMBER(SEARCH("surgeon",B154)),ISNUMBER(SEARCH("physician",B154)),ISNUMBER(SEARCH("doctor",B154)),ISNUMBER(SEARCH("dentist",B154)),ISNUMBER(SEARCH("psychiat",B154)),ISNUMBER(SEARCH("oncolog",B154)),ISNUMBER(SEARCH("neurolog",B154)),ISNUMBER(SEARCH("patholog",B154)),ISNUMBER(SEARCH("medicine",B154)),ISNUMBER(SEARCH("obgyn",B154))),77,OR(ISNUMBER(SEARCH("portfolio manager",B154)),ISNUMBER(SEARCH("wealth advisor",B154))),81,OR(ISNUMBER(SEARCH("lawyer",B154)),ISNUMBER(SEARCH("attorney",B154))),68,ISNUMBER(SEARCH("counsel",B154)),66,ISNUMBER(SEARCH("professor",B154)),63,OR(ISNUMBER(SEARCH("engineer",B154)),ISNUMBER(SEARCH("consultant",B154))),62,ISNUMBER(SEARCH("senior manager",B154)),64,OR(ISNUMBER(SEARCH("realtor",B154)),ISNUMBER(SEARCH("broker",B154)),ISNUMBER(SEARCH("journalist",B154)),ISNUMBER(SEARCH("columnist",B154)),ISNUMBER(SEARCH("trader",B154)),ISNUMBER(SEARCH("actor",B154))),50,TRUE,60)</f>
        <v>86</v>
      </c>
      <c r="I154" s="31" t="str" cm="1">
        <f t="array" ref="I154">_xlfn.LET(_xlpm.p," "&amp;LOWER(SUBSTITUTE(SUBSTITUTE(SUBSTITUTE(B154,",","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4" s="31" t="str" cm="1">
        <f t="array" ref="J154">_xlfn.IFS(H154&gt;=90,"Very High",H154&gt;=80,"High",H154&gt;=56,"Medium",TRUE,"Low")</f>
        <v>High</v>
      </c>
      <c r="K154" s="31" t="str" cm="1">
        <f t="array" ref="K154">_xlfn.IFS(OR(ISNUMBER(SEARCH("hospital",C154)),ISNUMBER(SEARCH("health",C154)),ISNUMBER(SEARCH("medical",C154)),ISNUMBER(SEARCH("clinic",C154)),ISNUMBER(SEARCH("nursing",C154)),ISNUMBER(SEARCH("care cent",C154)),ISNUMBER(SEARCH("physician",B154)),ISNUMBER(SEARCH("doctor",B154)),ISNUMBER(SEARCH("dentist",B154)),ISNUMBER(SEARCH("surgeon",B154)),ISNUMBER(SEARCH("psychiat",B154)),ISNUMBER(SEARCH("medicine",B154))),"Healthcare",OR(ISNUMBER(SEARCH("llp",C154)),ISNUMBER(SEARCH("lawyer",B154)),ISNUMBER(SEARCH("attorney",B154)),ISNUMBER(SEARCH("legal",C154)),ISNUMBER(SEARCH("tetrault",C154)),ISNUMBER(SEARCH("morley",C154)),ISNUMBER(SEARCH("blg",C154)),ISNUMBER(SEARCH("lowy",C154)),ISNUMBER(SEARCH("riley",C154)),ISNUMBER(SEARCH("toomath",C154))),"Law",OR(ISNUMBER(SEARCH("reit",C154)),ISNUMBER(SEARCH("properties",C154)),ISNUMBER(SEARCH("realty",C154)),ISNUMBER(SEARCH("realtor",B154)),ISNUMBER(SEARCH("colliers",C154)),ISNUMBER(SEARCH("re/max",C154)),ISNUMBER(SEARCH("quadreal",C154)),ISNUMBER(SEARCH("vic management",C154))),"Real Estate",OR(ISNUMBER(SEARCH("deloitte",C154)),ISNUMBER(SEARCH("kpmg",C154)),ISNUMBER(SEARCH("pwc",C154)),ISNUMBER(SEARCH("consulting",C154)),ISNUMBER(SEARCH("consultant",B154)),ISNUMBER(SEARCH("advisory",C154)),ISNUMBER(SEARCH("philanthropic",C154)),ISNUMBER(SEARCH("argyle",C154)),ISNUMBER(SEARCH("quinn",C154))),"Consulting",OR(ISNUMBER(SEARCH("media",C154)),ISNUMBER(SEARCH("news",C154)),ISNUMBER(SEARCH("radio",C154)),ISNUMBER(SEARCH("film",C154)),ISNUMBER(SEARCH("journalist",B154)),ISNUMBER(SEARCH("columnist",B154)),ISNUMBER(SEARCH("globe",C154)),ISNUMBER(SEARCH("marketing",C154)),ISNUMBER(SEARCH("actor",B154))),"Media",OR(ISNUMBER(SEARCH("rbc",C154)),ISNUMBER(SEARCH("cibc",C154)),ISNUMBER(SEARCH("bmo",C154)),ISNUMBER(SEARCH("scotia",C154)),ISNUMBER(SEARCH("bank",C154)),ISNUMBER(SEARCH("capital",C154)),ISNUMBER(SEARCH("wealth",C154)),ISNUMBER(SEARCH("financial",C154)),ISNUMBER(SEARCH("securities",C154)),ISNUMBER(SEARCH("fidelity",C154)),ISNUMBER(SEARCH("guardian",C154)),ISNUMBER(SEARCH("wealthsimple",C154)),ISNUMBER(SEARCH("credit suisse",C154)),ISNUMBER(SEARCH("tmx",C154)),ISNUMBER(SEARCH("investors",C154)),ISNUMBER(SEARCH("trader",B154))),"Finance",OR(ISNUMBER(SEARCH("ventures",C154)),ISNUMBER(SEARCH("private equity",B154)),ISNUMBER(SEARCH("capital partners",C154))),"Private Equity / VC",OR(ISNUMBER(SEARCH("government",C154)),ISNUMBER(SEARCH("ministry",C154)),ISNUMBER(SEARCH("tribunal",C154)),ISNUMBER(SEARCH("tdsb",C154)),ISNUMBER(SEARCH("public service",C154))),"Government",OR(ISNUMBER(SEARCH("association",C154)),ISNUMBER(SEARCH("institute",C154)),ISNUMBER(SEARCH("foundation",C154))),"Nonprofit",OR(ISNUMBER(SEARCH("software",C154)),ISNUMBER(SEARCH("tech",C154)),ISNUMBER(SEARCH("systems",C154)),ISNUMBER(SEARCH("digital",C154)),ISNUMBER(SEARCH("engineering",C154)),ISNUMBER(SEARCH("solutions",C154))),"Technology",TRUE,"Other")</f>
        <v>Real Estate</v>
      </c>
    </row>
    <row r="155" spans="1:11" x14ac:dyDescent="0.3">
      <c r="A155" s="27" t="s">
        <v>1304</v>
      </c>
      <c r="B155" s="27" t="s">
        <v>174</v>
      </c>
      <c r="C155" s="27" t="s">
        <v>1449</v>
      </c>
      <c r="D155" s="27" t="s">
        <v>1305</v>
      </c>
      <c r="E155" s="32">
        <v>3482000</v>
      </c>
      <c r="F155" s="28">
        <v>44995</v>
      </c>
      <c r="G155" s="29">
        <v>3.23</v>
      </c>
      <c r="H155" s="30" cm="1">
        <f t="array" ref="H155">_xlfn.IFS(I155="Founder / Owner",IF(ISNUMBER(SEARCH("owner",B155)),80,96),I155="C-Suite",IF(OR(ISNUMBER(SEARCH("ceo",B155)),ISNUMBER(SEARCH("chief executive",B155))),95,91),I155="Managing Director",86,I155="Partner",IF(OR(ISNUMBER(SEARCH("managing partner",B155)),ISNUMBER(SEARCH("general partner",B155))),88,85),I155="VP / Head",_xlfn.IFS(OR(ISNUMBER(SEARCH("vice president",B155)),ISNUMBER(SEARCH("executive vice",B155))),91,ISNUMBER(SEARCH("svp",B155)),77,TRUE,73),I155="Director",IF(ISNUMBER(SEARCH("principal",B155)),72,71),I155="Individual Contributor",32,OR(ISNUMBER(SEARCH("surgeon",B155)),ISNUMBER(SEARCH("physician",B155)),ISNUMBER(SEARCH("doctor",B155)),ISNUMBER(SEARCH("dentist",B155)),ISNUMBER(SEARCH("psychiat",B155)),ISNUMBER(SEARCH("oncolog",B155)),ISNUMBER(SEARCH("neurolog",B155)),ISNUMBER(SEARCH("patholog",B155)),ISNUMBER(SEARCH("medicine",B155)),ISNUMBER(SEARCH("obgyn",B155))),77,OR(ISNUMBER(SEARCH("portfolio manager",B155)),ISNUMBER(SEARCH("wealth advisor",B155))),81,OR(ISNUMBER(SEARCH("lawyer",B155)),ISNUMBER(SEARCH("attorney",B155))),68,ISNUMBER(SEARCH("counsel",B155)),66,ISNUMBER(SEARCH("professor",B155)),63,OR(ISNUMBER(SEARCH("engineer",B155)),ISNUMBER(SEARCH("consultant",B155))),62,ISNUMBER(SEARCH("senior manager",B155)),64,OR(ISNUMBER(SEARCH("realtor",B155)),ISNUMBER(SEARCH("broker",B155)),ISNUMBER(SEARCH("journalist",B155)),ISNUMBER(SEARCH("columnist",B155)),ISNUMBER(SEARCH("trader",B155)),ISNUMBER(SEARCH("actor",B155))),50,TRUE,60)</f>
        <v>86</v>
      </c>
      <c r="I155" s="31" t="str" cm="1">
        <f t="array" ref="I155">_xlfn.LET(_xlpm.p," "&amp;LOWER(SUBSTITUTE(SUBSTITUTE(SUBSTITUTE(B155,",","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5" s="31" t="str" cm="1">
        <f t="array" ref="J155">_xlfn.IFS(H155&gt;=90,"Very High",H155&gt;=80,"High",H155&gt;=56,"Medium",TRUE,"Low")</f>
        <v>High</v>
      </c>
      <c r="K155" s="31" t="str" cm="1">
        <f t="array" ref="K155">_xlfn.IFS(OR(ISNUMBER(SEARCH("hospital",C155)),ISNUMBER(SEARCH("health",C155)),ISNUMBER(SEARCH("medical",C155)),ISNUMBER(SEARCH("clinic",C155)),ISNUMBER(SEARCH("nursing",C155)),ISNUMBER(SEARCH("care cent",C155)),ISNUMBER(SEARCH("physician",B155)),ISNUMBER(SEARCH("doctor",B155)),ISNUMBER(SEARCH("dentist",B155)),ISNUMBER(SEARCH("surgeon",B155)),ISNUMBER(SEARCH("psychiat",B155)),ISNUMBER(SEARCH("medicine",B155))),"Healthcare",OR(ISNUMBER(SEARCH("llp",C155)),ISNUMBER(SEARCH("lawyer",B155)),ISNUMBER(SEARCH("attorney",B155)),ISNUMBER(SEARCH("legal",C155)),ISNUMBER(SEARCH("tetrault",C155)),ISNUMBER(SEARCH("morley",C155)),ISNUMBER(SEARCH("blg",C155)),ISNUMBER(SEARCH("lowy",C155)),ISNUMBER(SEARCH("riley",C155)),ISNUMBER(SEARCH("toomath",C155))),"Law",OR(ISNUMBER(SEARCH("reit",C155)),ISNUMBER(SEARCH("properties",C155)),ISNUMBER(SEARCH("realty",C155)),ISNUMBER(SEARCH("realtor",B155)),ISNUMBER(SEARCH("colliers",C155)),ISNUMBER(SEARCH("re/max",C155)),ISNUMBER(SEARCH("quadreal",C155)),ISNUMBER(SEARCH("vic management",C155))),"Real Estate",OR(ISNUMBER(SEARCH("deloitte",C155)),ISNUMBER(SEARCH("kpmg",C155)),ISNUMBER(SEARCH("pwc",C155)),ISNUMBER(SEARCH("consulting",C155)),ISNUMBER(SEARCH("consultant",B155)),ISNUMBER(SEARCH("advisory",C155)),ISNUMBER(SEARCH("philanthropic",C155)),ISNUMBER(SEARCH("argyle",C155)),ISNUMBER(SEARCH("quinn",C155))),"Consulting",OR(ISNUMBER(SEARCH("media",C155)),ISNUMBER(SEARCH("news",C155)),ISNUMBER(SEARCH("radio",C155)),ISNUMBER(SEARCH("film",C155)),ISNUMBER(SEARCH("journalist",B155)),ISNUMBER(SEARCH("columnist",B155)),ISNUMBER(SEARCH("globe",C155)),ISNUMBER(SEARCH("marketing",C155)),ISNUMBER(SEARCH("actor",B155))),"Media",OR(ISNUMBER(SEARCH("rbc",C155)),ISNUMBER(SEARCH("cibc",C155)),ISNUMBER(SEARCH("bmo",C155)),ISNUMBER(SEARCH("scotia",C155)),ISNUMBER(SEARCH("bank",C155)),ISNUMBER(SEARCH("capital",C155)),ISNUMBER(SEARCH("wealth",C155)),ISNUMBER(SEARCH("financial",C155)),ISNUMBER(SEARCH("securities",C155)),ISNUMBER(SEARCH("fidelity",C155)),ISNUMBER(SEARCH("guardian",C155)),ISNUMBER(SEARCH("wealthsimple",C155)),ISNUMBER(SEARCH("credit suisse",C155)),ISNUMBER(SEARCH("tmx",C155)),ISNUMBER(SEARCH("investors",C155)),ISNUMBER(SEARCH("trader",B155))),"Finance",OR(ISNUMBER(SEARCH("ventures",C155)),ISNUMBER(SEARCH("private equity",B155)),ISNUMBER(SEARCH("capital partners",C155))),"Private Equity / VC",OR(ISNUMBER(SEARCH("government",C155)),ISNUMBER(SEARCH("ministry",C155)),ISNUMBER(SEARCH("tribunal",C155)),ISNUMBER(SEARCH("tdsb",C155)),ISNUMBER(SEARCH("public service",C155))),"Government",OR(ISNUMBER(SEARCH("association",C155)),ISNUMBER(SEARCH("institute",C155)),ISNUMBER(SEARCH("foundation",C155))),"Nonprofit",OR(ISNUMBER(SEARCH("software",C155)),ISNUMBER(SEARCH("tech",C155)),ISNUMBER(SEARCH("systems",C155)),ISNUMBER(SEARCH("digital",C155)),ISNUMBER(SEARCH("engineering",C155)),ISNUMBER(SEARCH("solutions",C155))),"Technology",TRUE,"Other")</f>
        <v>Finance</v>
      </c>
    </row>
    <row r="156" spans="1:11" x14ac:dyDescent="0.3">
      <c r="A156" s="27" t="s">
        <v>1308</v>
      </c>
      <c r="B156" s="27" t="s">
        <v>174</v>
      </c>
      <c r="C156" s="27" t="s">
        <v>1540</v>
      </c>
      <c r="D156" s="27" t="s">
        <v>1298</v>
      </c>
      <c r="E156" s="32">
        <v>3550000</v>
      </c>
      <c r="F156" s="28">
        <v>44707</v>
      </c>
      <c r="G156" s="29">
        <v>3.2</v>
      </c>
      <c r="H156" s="30" cm="1">
        <f t="array" ref="H156">_xlfn.IFS(I156="Founder / Owner",IF(ISNUMBER(SEARCH("owner",B156)),80,96),I156="C-Suite",IF(OR(ISNUMBER(SEARCH("ceo",B156)),ISNUMBER(SEARCH("chief executive",B156))),95,91),I156="Managing Director",86,I156="Partner",IF(OR(ISNUMBER(SEARCH("managing partner",B156)),ISNUMBER(SEARCH("general partner",B156))),88,85),I156="VP / Head",_xlfn.IFS(OR(ISNUMBER(SEARCH("vice president",B156)),ISNUMBER(SEARCH("executive vice",B156))),91,ISNUMBER(SEARCH("svp",B156)),77,TRUE,73),I156="Director",IF(ISNUMBER(SEARCH("principal",B156)),72,71),I156="Individual Contributor",32,OR(ISNUMBER(SEARCH("surgeon",B156)),ISNUMBER(SEARCH("physician",B156)),ISNUMBER(SEARCH("doctor",B156)),ISNUMBER(SEARCH("dentist",B156)),ISNUMBER(SEARCH("psychiat",B156)),ISNUMBER(SEARCH("oncolog",B156)),ISNUMBER(SEARCH("neurolog",B156)),ISNUMBER(SEARCH("patholog",B156)),ISNUMBER(SEARCH("medicine",B156)),ISNUMBER(SEARCH("obgyn",B156))),77,OR(ISNUMBER(SEARCH("portfolio manager",B156)),ISNUMBER(SEARCH("wealth advisor",B156))),81,OR(ISNUMBER(SEARCH("lawyer",B156)),ISNUMBER(SEARCH("attorney",B156))),68,ISNUMBER(SEARCH("counsel",B156)),66,ISNUMBER(SEARCH("professor",B156)),63,OR(ISNUMBER(SEARCH("engineer",B156)),ISNUMBER(SEARCH("consultant",B156))),62,ISNUMBER(SEARCH("senior manager",B156)),64,OR(ISNUMBER(SEARCH("realtor",B156)),ISNUMBER(SEARCH("broker",B156)),ISNUMBER(SEARCH("journalist",B156)),ISNUMBER(SEARCH("columnist",B156)),ISNUMBER(SEARCH("trader",B156)),ISNUMBER(SEARCH("actor",B156))),50,TRUE,60)</f>
        <v>86</v>
      </c>
      <c r="I156" s="31" t="str" cm="1">
        <f t="array" ref="I156">_xlfn.LET(_xlpm.p," "&amp;LOWER(SUBSTITUTE(SUBSTITUTE(SUBSTITUTE(B156,",","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6" s="31" t="str" cm="1">
        <f t="array" ref="J156">_xlfn.IFS(H156&gt;=90,"Very High",H156&gt;=80,"High",H156&gt;=56,"Medium",TRUE,"Low")</f>
        <v>High</v>
      </c>
      <c r="K156" s="31" t="str" cm="1">
        <f t="array" ref="K156">_xlfn.IFS(OR(ISNUMBER(SEARCH("hospital",C156)),ISNUMBER(SEARCH("health",C156)),ISNUMBER(SEARCH("medical",C156)),ISNUMBER(SEARCH("clinic",C156)),ISNUMBER(SEARCH("nursing",C156)),ISNUMBER(SEARCH("care cent",C156)),ISNUMBER(SEARCH("physician",B156)),ISNUMBER(SEARCH("doctor",B156)),ISNUMBER(SEARCH("dentist",B156)),ISNUMBER(SEARCH("surgeon",B156)),ISNUMBER(SEARCH("psychiat",B156)),ISNUMBER(SEARCH("medicine",B156))),"Healthcare",OR(ISNUMBER(SEARCH("llp",C156)),ISNUMBER(SEARCH("lawyer",B156)),ISNUMBER(SEARCH("attorney",B156)),ISNUMBER(SEARCH("legal",C156)),ISNUMBER(SEARCH("tetrault",C156)),ISNUMBER(SEARCH("morley",C156)),ISNUMBER(SEARCH("blg",C156)),ISNUMBER(SEARCH("lowy",C156)),ISNUMBER(SEARCH("riley",C156)),ISNUMBER(SEARCH("toomath",C156))),"Law",OR(ISNUMBER(SEARCH("reit",C156)),ISNUMBER(SEARCH("properties",C156)),ISNUMBER(SEARCH("realty",C156)),ISNUMBER(SEARCH("realtor",B156)),ISNUMBER(SEARCH("colliers",C156)),ISNUMBER(SEARCH("re/max",C156)),ISNUMBER(SEARCH("quadreal",C156)),ISNUMBER(SEARCH("vic management",C156))),"Real Estate",OR(ISNUMBER(SEARCH("deloitte",C156)),ISNUMBER(SEARCH("kpmg",C156)),ISNUMBER(SEARCH("pwc",C156)),ISNUMBER(SEARCH("consulting",C156)),ISNUMBER(SEARCH("consultant",B156)),ISNUMBER(SEARCH("advisory",C156)),ISNUMBER(SEARCH("philanthropic",C156)),ISNUMBER(SEARCH("argyle",C156)),ISNUMBER(SEARCH("quinn",C156))),"Consulting",OR(ISNUMBER(SEARCH("media",C156)),ISNUMBER(SEARCH("news",C156)),ISNUMBER(SEARCH("radio",C156)),ISNUMBER(SEARCH("film",C156)),ISNUMBER(SEARCH("journalist",B156)),ISNUMBER(SEARCH("columnist",B156)),ISNUMBER(SEARCH("globe",C156)),ISNUMBER(SEARCH("marketing",C156)),ISNUMBER(SEARCH("actor",B156))),"Media",OR(ISNUMBER(SEARCH("rbc",C156)),ISNUMBER(SEARCH("cibc",C156)),ISNUMBER(SEARCH("bmo",C156)),ISNUMBER(SEARCH("scotia",C156)),ISNUMBER(SEARCH("bank",C156)),ISNUMBER(SEARCH("capital",C156)),ISNUMBER(SEARCH("wealth",C156)),ISNUMBER(SEARCH("financial",C156)),ISNUMBER(SEARCH("securities",C156)),ISNUMBER(SEARCH("fidelity",C156)),ISNUMBER(SEARCH("guardian",C156)),ISNUMBER(SEARCH("wealthsimple",C156)),ISNUMBER(SEARCH("credit suisse",C156)),ISNUMBER(SEARCH("tmx",C156)),ISNUMBER(SEARCH("investors",C156)),ISNUMBER(SEARCH("trader",B156))),"Finance",OR(ISNUMBER(SEARCH("ventures",C156)),ISNUMBER(SEARCH("private equity",B156)),ISNUMBER(SEARCH("capital partners",C156))),"Private Equity / VC",OR(ISNUMBER(SEARCH("government",C156)),ISNUMBER(SEARCH("ministry",C156)),ISNUMBER(SEARCH("tribunal",C156)),ISNUMBER(SEARCH("tdsb",C156)),ISNUMBER(SEARCH("public service",C156))),"Government",OR(ISNUMBER(SEARCH("association",C156)),ISNUMBER(SEARCH("institute",C156)),ISNUMBER(SEARCH("foundation",C156))),"Nonprofit",OR(ISNUMBER(SEARCH("software",C156)),ISNUMBER(SEARCH("tech",C156)),ISNUMBER(SEARCH("systems",C156)),ISNUMBER(SEARCH("digital",C156)),ISNUMBER(SEARCH("engineering",C156)),ISNUMBER(SEARCH("solutions",C156))),"Technology",TRUE,"Other")</f>
        <v>Consulting</v>
      </c>
    </row>
    <row r="157" spans="1:11" x14ac:dyDescent="0.3">
      <c r="A157" s="4" t="s">
        <v>476</v>
      </c>
      <c r="B157" s="4" t="s">
        <v>174</v>
      </c>
      <c r="C157" s="4" t="s">
        <v>477</v>
      </c>
      <c r="D157" s="4" t="s">
        <v>478</v>
      </c>
      <c r="E157" s="18">
        <v>3675000</v>
      </c>
      <c r="F157" s="5">
        <v>44048</v>
      </c>
      <c r="G157" s="6">
        <v>3.79</v>
      </c>
      <c r="H157" s="9">
        <v>86</v>
      </c>
      <c r="I157" s="10" t="s">
        <v>174</v>
      </c>
      <c r="J157" s="10" t="s">
        <v>1050</v>
      </c>
      <c r="K157" s="10" t="s">
        <v>1059</v>
      </c>
    </row>
    <row r="158" spans="1:11" x14ac:dyDescent="0.3">
      <c r="A158" s="4" t="s">
        <v>475</v>
      </c>
      <c r="B158" s="4" t="s">
        <v>174</v>
      </c>
      <c r="C158" s="4" t="s">
        <v>325</v>
      </c>
      <c r="D158" s="4" t="s">
        <v>474</v>
      </c>
      <c r="E158" s="18">
        <v>3700000</v>
      </c>
      <c r="F158" s="5">
        <v>43748</v>
      </c>
      <c r="G158" s="6">
        <v>3.69</v>
      </c>
      <c r="H158" s="9">
        <v>86</v>
      </c>
      <c r="I158" s="10" t="s">
        <v>174</v>
      </c>
      <c r="J158" s="10" t="s">
        <v>1050</v>
      </c>
      <c r="K158" s="10" t="s">
        <v>1054</v>
      </c>
    </row>
    <row r="159" spans="1:11" x14ac:dyDescent="0.3">
      <c r="A159" s="11" t="s">
        <v>442</v>
      </c>
      <c r="B159" s="11" t="s">
        <v>443</v>
      </c>
      <c r="C159" s="13" t="s">
        <v>325</v>
      </c>
      <c r="D159" s="13" t="s">
        <v>441</v>
      </c>
      <c r="E159" s="17">
        <v>3900000</v>
      </c>
      <c r="F159" s="33">
        <v>43829</v>
      </c>
      <c r="G159" s="14">
        <v>3.9</v>
      </c>
      <c r="H159" s="9">
        <v>86</v>
      </c>
      <c r="I159" s="10" t="s">
        <v>174</v>
      </c>
      <c r="J159" s="10" t="s">
        <v>1050</v>
      </c>
      <c r="K159" s="10" t="s">
        <v>1054</v>
      </c>
    </row>
    <row r="160" spans="1:11" x14ac:dyDescent="0.3">
      <c r="A160" s="4" t="s">
        <v>327</v>
      </c>
      <c r="B160" s="4" t="s">
        <v>174</v>
      </c>
      <c r="C160" s="4" t="s">
        <v>328</v>
      </c>
      <c r="D160" s="4" t="s">
        <v>326</v>
      </c>
      <c r="E160" s="16">
        <v>6450000</v>
      </c>
      <c r="F160" s="5">
        <v>45236</v>
      </c>
      <c r="G160" s="6">
        <v>4.04</v>
      </c>
      <c r="H160" s="9">
        <v>86</v>
      </c>
      <c r="I160" s="10" t="s">
        <v>174</v>
      </c>
      <c r="J160" s="10" t="s">
        <v>1050</v>
      </c>
      <c r="K160" s="10" t="s">
        <v>1058</v>
      </c>
    </row>
    <row r="161" spans="1:11" x14ac:dyDescent="0.3">
      <c r="A161" s="4" t="s">
        <v>944</v>
      </c>
      <c r="B161" s="4" t="s">
        <v>174</v>
      </c>
      <c r="C161" s="4" t="s">
        <v>945</v>
      </c>
      <c r="D161" s="4" t="s">
        <v>946</v>
      </c>
      <c r="E161" s="20" t="s">
        <v>1280</v>
      </c>
      <c r="F161" s="5">
        <v>27758</v>
      </c>
      <c r="G161" s="6">
        <v>3.71</v>
      </c>
      <c r="H161" s="9">
        <v>86</v>
      </c>
      <c r="I161" s="10" t="s">
        <v>174</v>
      </c>
      <c r="J161" s="10" t="s">
        <v>1050</v>
      </c>
      <c r="K161" s="10" t="s">
        <v>1062</v>
      </c>
    </row>
    <row r="162" spans="1:11" x14ac:dyDescent="0.3">
      <c r="A162" s="27" t="s">
        <v>1393</v>
      </c>
      <c r="B162" s="27" t="s">
        <v>174</v>
      </c>
      <c r="C162" s="27" t="s">
        <v>1486</v>
      </c>
      <c r="D162" s="27" t="s">
        <v>1394</v>
      </c>
      <c r="E162" s="32" t="s">
        <v>1280</v>
      </c>
      <c r="F162" s="28">
        <v>46094</v>
      </c>
      <c r="G162" s="29">
        <v>3.06</v>
      </c>
      <c r="H162" s="30" cm="1">
        <f t="array" ref="H162">_xlfn.IFS(I162="Founder / Owner",IF(ISNUMBER(SEARCH("owner",B162)),80,96),I162="C-Suite",IF(OR(ISNUMBER(SEARCH("ceo",B162)),ISNUMBER(SEARCH("chief executive",B162))),95,91),I162="Managing Director",86,I162="Partner",IF(OR(ISNUMBER(SEARCH("managing partner",B162)),ISNUMBER(SEARCH("general partner",B162))),88,85),I162="VP / Head",_xlfn.IFS(OR(ISNUMBER(SEARCH("vice president",B162)),ISNUMBER(SEARCH("executive vice",B162))),91,ISNUMBER(SEARCH("svp",B162)),77,TRUE,73),I162="Director",IF(ISNUMBER(SEARCH("principal",B162)),72,71),I162="Individual Contributor",32,OR(ISNUMBER(SEARCH("surgeon",B162)),ISNUMBER(SEARCH("physician",B162)),ISNUMBER(SEARCH("doctor",B162)),ISNUMBER(SEARCH("dentist",B162)),ISNUMBER(SEARCH("psychiat",B162)),ISNUMBER(SEARCH("oncolog",B162)),ISNUMBER(SEARCH("neurolog",B162)),ISNUMBER(SEARCH("patholog",B162)),ISNUMBER(SEARCH("medicine",B162)),ISNUMBER(SEARCH("obgyn",B162))),77,OR(ISNUMBER(SEARCH("portfolio manager",B162)),ISNUMBER(SEARCH("wealth advisor",B162))),81,OR(ISNUMBER(SEARCH("lawyer",B162)),ISNUMBER(SEARCH("attorney",B162))),68,ISNUMBER(SEARCH("counsel",B162)),66,ISNUMBER(SEARCH("professor",B162)),63,OR(ISNUMBER(SEARCH("engineer",B162)),ISNUMBER(SEARCH("consultant",B162))),62,ISNUMBER(SEARCH("senior manager",B162)),64,OR(ISNUMBER(SEARCH("realtor",B162)),ISNUMBER(SEARCH("broker",B162)),ISNUMBER(SEARCH("journalist",B162)),ISNUMBER(SEARCH("columnist",B162)),ISNUMBER(SEARCH("trader",B162)),ISNUMBER(SEARCH("actor",B162))),50,TRUE,60)</f>
        <v>86</v>
      </c>
      <c r="I162" s="31" t="str" cm="1">
        <f t="array" ref="I162">_xlfn.LET(_xlpm.p," "&amp;LOWER(SUBSTITUTE(SUBSTITUTE(SUBSTITUTE(B162,",","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62" s="31" t="str" cm="1">
        <f t="array" ref="J162">_xlfn.IFS(H162&gt;=90,"Very High",H162&gt;=80,"High",H162&gt;=56,"Medium",TRUE,"Low")</f>
        <v>High</v>
      </c>
      <c r="K162" s="31" t="str" cm="1">
        <f t="array" ref="K162">_xlfn.IFS(OR(ISNUMBER(SEARCH("hospital",C162)),ISNUMBER(SEARCH("health",C162)),ISNUMBER(SEARCH("medical",C162)),ISNUMBER(SEARCH("clinic",C162)),ISNUMBER(SEARCH("nursing",C162)),ISNUMBER(SEARCH("care cent",C162)),ISNUMBER(SEARCH("physician",B162)),ISNUMBER(SEARCH("doctor",B162)),ISNUMBER(SEARCH("dentist",B162)),ISNUMBER(SEARCH("surgeon",B162)),ISNUMBER(SEARCH("psychiat",B162)),ISNUMBER(SEARCH("medicine",B162))),"Healthcare",OR(ISNUMBER(SEARCH("llp",C162)),ISNUMBER(SEARCH("lawyer",B162)),ISNUMBER(SEARCH("attorney",B162)),ISNUMBER(SEARCH("legal",C162)),ISNUMBER(SEARCH("tetrault",C162)),ISNUMBER(SEARCH("morley",C162)),ISNUMBER(SEARCH("blg",C162)),ISNUMBER(SEARCH("lowy",C162)),ISNUMBER(SEARCH("riley",C162)),ISNUMBER(SEARCH("toomath",C162))),"Law",OR(ISNUMBER(SEARCH("reit",C162)),ISNUMBER(SEARCH("properties",C162)),ISNUMBER(SEARCH("realty",C162)),ISNUMBER(SEARCH("realtor",B162)),ISNUMBER(SEARCH("colliers",C162)),ISNUMBER(SEARCH("re/max",C162)),ISNUMBER(SEARCH("quadreal",C162)),ISNUMBER(SEARCH("vic management",C162))),"Real Estate",OR(ISNUMBER(SEARCH("deloitte",C162)),ISNUMBER(SEARCH("kpmg",C162)),ISNUMBER(SEARCH("pwc",C162)),ISNUMBER(SEARCH("consulting",C162)),ISNUMBER(SEARCH("consultant",B162)),ISNUMBER(SEARCH("advisory",C162)),ISNUMBER(SEARCH("philanthropic",C162)),ISNUMBER(SEARCH("argyle",C162)),ISNUMBER(SEARCH("quinn",C162))),"Consulting",OR(ISNUMBER(SEARCH("media",C162)),ISNUMBER(SEARCH("news",C162)),ISNUMBER(SEARCH("radio",C162)),ISNUMBER(SEARCH("film",C162)),ISNUMBER(SEARCH("journalist",B162)),ISNUMBER(SEARCH("columnist",B162)),ISNUMBER(SEARCH("globe",C162)),ISNUMBER(SEARCH("marketing",C162)),ISNUMBER(SEARCH("actor",B162))),"Media",OR(ISNUMBER(SEARCH("rbc",C162)),ISNUMBER(SEARCH("cibc",C162)),ISNUMBER(SEARCH("bmo",C162)),ISNUMBER(SEARCH("scotia",C162)),ISNUMBER(SEARCH("bank",C162)),ISNUMBER(SEARCH("capital",C162)),ISNUMBER(SEARCH("wealth",C162)),ISNUMBER(SEARCH("financial",C162)),ISNUMBER(SEARCH("securities",C162)),ISNUMBER(SEARCH("fidelity",C162)),ISNUMBER(SEARCH("guardian",C162)),ISNUMBER(SEARCH("wealthsimple",C162)),ISNUMBER(SEARCH("credit suisse",C162)),ISNUMBER(SEARCH("tmx",C162)),ISNUMBER(SEARCH("investors",C162)),ISNUMBER(SEARCH("trader",B162))),"Finance",OR(ISNUMBER(SEARCH("ventures",C162)),ISNUMBER(SEARCH("private equity",B162)),ISNUMBER(SEARCH("capital partners",C162))),"Private Equity / VC",OR(ISNUMBER(SEARCH("government",C162)),ISNUMBER(SEARCH("ministry",C162)),ISNUMBER(SEARCH("tribunal",C162)),ISNUMBER(SEARCH("tdsb",C162)),ISNUMBER(SEARCH("public service",C162))),"Government",OR(ISNUMBER(SEARCH("association",C162)),ISNUMBER(SEARCH("institute",C162)),ISNUMBER(SEARCH("foundation",C162))),"Nonprofit",OR(ISNUMBER(SEARCH("software",C162)),ISNUMBER(SEARCH("tech",C162)),ISNUMBER(SEARCH("systems",C162)),ISNUMBER(SEARCH("digital",C162)),ISNUMBER(SEARCH("engineering",C162)),ISNUMBER(SEARCH("solutions",C162))),"Technology",TRUE,"Other")</f>
        <v>Other</v>
      </c>
    </row>
    <row r="163" spans="1:11" x14ac:dyDescent="0.3">
      <c r="A163" s="4" t="s">
        <v>956</v>
      </c>
      <c r="B163" s="4" t="s">
        <v>174</v>
      </c>
      <c r="C163" s="4" t="s">
        <v>957</v>
      </c>
      <c r="D163" s="4" t="s">
        <v>958</v>
      </c>
      <c r="E163" s="20" t="s">
        <v>1280</v>
      </c>
      <c r="F163" s="5">
        <v>45740</v>
      </c>
      <c r="G163" s="6">
        <v>4.1399999999999997</v>
      </c>
      <c r="H163" s="9">
        <v>86</v>
      </c>
      <c r="I163" s="10" t="s">
        <v>174</v>
      </c>
      <c r="J163" s="10" t="s">
        <v>1050</v>
      </c>
      <c r="K163" s="10" t="s">
        <v>1051</v>
      </c>
    </row>
    <row r="164" spans="1:11" x14ac:dyDescent="0.3">
      <c r="A164" s="4" t="s">
        <v>961</v>
      </c>
      <c r="B164" s="4" t="s">
        <v>174</v>
      </c>
      <c r="C164" s="4" t="s">
        <v>962</v>
      </c>
      <c r="D164" s="4" t="s">
        <v>963</v>
      </c>
      <c r="E164" s="20" t="s">
        <v>1280</v>
      </c>
      <c r="F164" s="5">
        <v>29966</v>
      </c>
      <c r="G164" s="6">
        <v>3.99</v>
      </c>
      <c r="H164" s="9">
        <v>86</v>
      </c>
      <c r="I164" s="10" t="s">
        <v>174</v>
      </c>
      <c r="J164" s="10" t="s">
        <v>1050</v>
      </c>
      <c r="K164" s="10" t="s">
        <v>1054</v>
      </c>
    </row>
    <row r="165" spans="1:11" x14ac:dyDescent="0.3">
      <c r="A165" s="11" t="s">
        <v>999</v>
      </c>
      <c r="B165" s="11" t="s">
        <v>174</v>
      </c>
      <c r="C165" s="11" t="s">
        <v>1000</v>
      </c>
      <c r="D165" s="11" t="s">
        <v>1001</v>
      </c>
      <c r="E165" s="21" t="s">
        <v>1280</v>
      </c>
      <c r="F165" s="33">
        <v>41492</v>
      </c>
      <c r="G165" s="12">
        <v>3.72</v>
      </c>
      <c r="H165" s="9">
        <v>86</v>
      </c>
      <c r="I165" s="10" t="s">
        <v>174</v>
      </c>
      <c r="J165" s="10" t="s">
        <v>1050</v>
      </c>
      <c r="K165" s="10" t="s">
        <v>1062</v>
      </c>
    </row>
    <row r="166" spans="1:11" x14ac:dyDescent="0.3">
      <c r="A166" s="4" t="s">
        <v>1007</v>
      </c>
      <c r="B166" s="4" t="s">
        <v>174</v>
      </c>
      <c r="C166" s="4" t="s">
        <v>1008</v>
      </c>
      <c r="D166" s="4" t="s">
        <v>1009</v>
      </c>
      <c r="E166" s="20" t="s">
        <v>1280</v>
      </c>
      <c r="F166" s="5">
        <v>35696</v>
      </c>
      <c r="G166" s="6">
        <v>3.94</v>
      </c>
      <c r="H166" s="9">
        <v>86</v>
      </c>
      <c r="I166" s="10" t="s">
        <v>174</v>
      </c>
      <c r="J166" s="10" t="s">
        <v>1050</v>
      </c>
      <c r="K166" s="10" t="s">
        <v>1051</v>
      </c>
    </row>
    <row r="167" spans="1:11" x14ac:dyDescent="0.3">
      <c r="A167" s="4" t="s">
        <v>1219</v>
      </c>
      <c r="B167" s="4" t="s">
        <v>174</v>
      </c>
      <c r="C167" s="4" t="s">
        <v>1220</v>
      </c>
      <c r="D167" s="4" t="s">
        <v>1221</v>
      </c>
      <c r="E167" s="20" t="s">
        <v>1280</v>
      </c>
      <c r="F167" s="5">
        <v>39597</v>
      </c>
      <c r="G167" s="3">
        <v>3.52</v>
      </c>
      <c r="H167" s="9">
        <v>86</v>
      </c>
      <c r="I167" s="10" t="s">
        <v>174</v>
      </c>
      <c r="J167" s="10" t="s">
        <v>1050</v>
      </c>
      <c r="K167" s="10" t="s">
        <v>1054</v>
      </c>
    </row>
    <row r="168" spans="1:11" x14ac:dyDescent="0.3">
      <c r="A168" s="27" t="s">
        <v>1395</v>
      </c>
      <c r="B168" s="27" t="s">
        <v>174</v>
      </c>
      <c r="C168" s="27" t="s">
        <v>1396</v>
      </c>
      <c r="D168" s="27" t="s">
        <v>1397</v>
      </c>
      <c r="E168" s="32" t="s">
        <v>1280</v>
      </c>
      <c r="F168" s="28">
        <v>40813</v>
      </c>
      <c r="G168" s="29">
        <v>3.01</v>
      </c>
      <c r="H168" s="30" cm="1">
        <f t="array" ref="H168">_xlfn.IFS(I168="Founder / Owner",IF(ISNUMBER(SEARCH("owner",B168)),80,96),I168="C-Suite",IF(OR(ISNUMBER(SEARCH("ceo",B168)),ISNUMBER(SEARCH("chief executive",B168))),95,91),I168="Managing Director",86,I168="Partner",IF(OR(ISNUMBER(SEARCH("managing partner",B168)),ISNUMBER(SEARCH("general partner",B168))),88,85),I168="VP / Head",_xlfn.IFS(OR(ISNUMBER(SEARCH("vice president",B168)),ISNUMBER(SEARCH("executive vice",B168))),91,ISNUMBER(SEARCH("svp",B168)),77,TRUE,73),I168="Director",IF(ISNUMBER(SEARCH("principal",B168)),72,71),I168="Individual Contributor",32,OR(ISNUMBER(SEARCH("surgeon",B168)),ISNUMBER(SEARCH("physician",B168)),ISNUMBER(SEARCH("doctor",B168)),ISNUMBER(SEARCH("dentist",B168)),ISNUMBER(SEARCH("psychiat",B168)),ISNUMBER(SEARCH("oncolog",B168)),ISNUMBER(SEARCH("neurolog",B168)),ISNUMBER(SEARCH("patholog",B168)),ISNUMBER(SEARCH("medicine",B168)),ISNUMBER(SEARCH("obgyn",B168))),77,OR(ISNUMBER(SEARCH("portfolio manager",B168)),ISNUMBER(SEARCH("wealth advisor",B168))),81,OR(ISNUMBER(SEARCH("lawyer",B168)),ISNUMBER(SEARCH("attorney",B168))),68,ISNUMBER(SEARCH("counsel",B168)),66,ISNUMBER(SEARCH("professor",B168)),63,OR(ISNUMBER(SEARCH("engineer",B168)),ISNUMBER(SEARCH("consultant",B168))),62,ISNUMBER(SEARCH("senior manager",B168)),64,OR(ISNUMBER(SEARCH("realtor",B168)),ISNUMBER(SEARCH("broker",B168)),ISNUMBER(SEARCH("journalist",B168)),ISNUMBER(SEARCH("columnist",B168)),ISNUMBER(SEARCH("trader",B168)),ISNUMBER(SEARCH("actor",B168))),50,TRUE,60)</f>
        <v>86</v>
      </c>
      <c r="I168" s="31" t="str" cm="1">
        <f t="array" ref="I168">_xlfn.LET(_xlpm.p," "&amp;LOWER(SUBSTITUTE(SUBSTITUTE(SUBSTITUTE(B168,",","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68" s="31" t="str" cm="1">
        <f t="array" ref="J168">_xlfn.IFS(H168&gt;=90,"Very High",H168&gt;=80,"High",H168&gt;=56,"Medium",TRUE,"Low")</f>
        <v>High</v>
      </c>
      <c r="K168" s="31" t="str" cm="1">
        <f t="array" ref="K168">_xlfn.IFS(OR(ISNUMBER(SEARCH("hospital",C168)),ISNUMBER(SEARCH("health",C168)),ISNUMBER(SEARCH("medical",C168)),ISNUMBER(SEARCH("clinic",C168)),ISNUMBER(SEARCH("nursing",C168)),ISNUMBER(SEARCH("care cent",C168)),ISNUMBER(SEARCH("physician",B168)),ISNUMBER(SEARCH("doctor",B168)),ISNUMBER(SEARCH("dentist",B168)),ISNUMBER(SEARCH("surgeon",B168)),ISNUMBER(SEARCH("psychiat",B168)),ISNUMBER(SEARCH("medicine",B168))),"Healthcare",OR(ISNUMBER(SEARCH("llp",C168)),ISNUMBER(SEARCH("lawyer",B168)),ISNUMBER(SEARCH("attorney",B168)),ISNUMBER(SEARCH("legal",C168)),ISNUMBER(SEARCH("tetrault",C168)),ISNUMBER(SEARCH("morley",C168)),ISNUMBER(SEARCH("blg",C168)),ISNUMBER(SEARCH("lowy",C168)),ISNUMBER(SEARCH("riley",C168)),ISNUMBER(SEARCH("toomath",C168))),"Law",OR(ISNUMBER(SEARCH("reit",C168)),ISNUMBER(SEARCH("properties",C168)),ISNUMBER(SEARCH("realty",C168)),ISNUMBER(SEARCH("realtor",B168)),ISNUMBER(SEARCH("colliers",C168)),ISNUMBER(SEARCH("re/max",C168)),ISNUMBER(SEARCH("quadreal",C168)),ISNUMBER(SEARCH("vic management",C168))),"Real Estate",OR(ISNUMBER(SEARCH("deloitte",C168)),ISNUMBER(SEARCH("kpmg",C168)),ISNUMBER(SEARCH("pwc",C168)),ISNUMBER(SEARCH("consulting",C168)),ISNUMBER(SEARCH("consultant",B168)),ISNUMBER(SEARCH("advisory",C168)),ISNUMBER(SEARCH("philanthropic",C168)),ISNUMBER(SEARCH("argyle",C168)),ISNUMBER(SEARCH("quinn",C168))),"Consulting",OR(ISNUMBER(SEARCH("media",C168)),ISNUMBER(SEARCH("news",C168)),ISNUMBER(SEARCH("radio",C168)),ISNUMBER(SEARCH("film",C168)),ISNUMBER(SEARCH("journalist",B168)),ISNUMBER(SEARCH("columnist",B168)),ISNUMBER(SEARCH("globe",C168)),ISNUMBER(SEARCH("marketing",C168)),ISNUMBER(SEARCH("actor",B168))),"Media",OR(ISNUMBER(SEARCH("rbc",C168)),ISNUMBER(SEARCH("cibc",C168)),ISNUMBER(SEARCH("bmo",C168)),ISNUMBER(SEARCH("scotia",C168)),ISNUMBER(SEARCH("bank",C168)),ISNUMBER(SEARCH("capital",C168)),ISNUMBER(SEARCH("wealth",C168)),ISNUMBER(SEARCH("financial",C168)),ISNUMBER(SEARCH("securities",C168)),ISNUMBER(SEARCH("fidelity",C168)),ISNUMBER(SEARCH("guardian",C168)),ISNUMBER(SEARCH("wealthsimple",C168)),ISNUMBER(SEARCH("credit suisse",C168)),ISNUMBER(SEARCH("tmx",C168)),ISNUMBER(SEARCH("investors",C168)),ISNUMBER(SEARCH("trader",B168))),"Finance",OR(ISNUMBER(SEARCH("ventures",C168)),ISNUMBER(SEARCH("private equity",B168)),ISNUMBER(SEARCH("capital partners",C168))),"Private Equity / VC",OR(ISNUMBER(SEARCH("government",C168)),ISNUMBER(SEARCH("ministry",C168)),ISNUMBER(SEARCH("tribunal",C168)),ISNUMBER(SEARCH("tdsb",C168)),ISNUMBER(SEARCH("public service",C168))),"Government",OR(ISNUMBER(SEARCH("association",C168)),ISNUMBER(SEARCH("institute",C168)),ISNUMBER(SEARCH("foundation",C168))),"Nonprofit",OR(ISNUMBER(SEARCH("software",C168)),ISNUMBER(SEARCH("tech",C168)),ISNUMBER(SEARCH("systems",C168)),ISNUMBER(SEARCH("digital",C168)),ISNUMBER(SEARCH("engineering",C168)),ISNUMBER(SEARCH("solutions",C168))),"Technology",TRUE,"Other")</f>
        <v>Real Estate</v>
      </c>
    </row>
    <row r="169" spans="1:11" x14ac:dyDescent="0.3">
      <c r="A169" s="4" t="s">
        <v>1026</v>
      </c>
      <c r="B169" s="4" t="s">
        <v>174</v>
      </c>
      <c r="C169" s="4" t="s">
        <v>1027</v>
      </c>
      <c r="D169" s="4" t="s">
        <v>1028</v>
      </c>
      <c r="E169" s="20" t="s">
        <v>1280</v>
      </c>
      <c r="F169" s="5">
        <v>42887</v>
      </c>
      <c r="G169" s="3">
        <v>4.05</v>
      </c>
      <c r="H169" s="9">
        <v>86</v>
      </c>
      <c r="I169" s="10" t="s">
        <v>174</v>
      </c>
      <c r="J169" s="10" t="s">
        <v>1050</v>
      </c>
      <c r="K169" s="10" t="s">
        <v>1051</v>
      </c>
    </row>
    <row r="170" spans="1:11" x14ac:dyDescent="0.3">
      <c r="A170" s="11" t="s">
        <v>229</v>
      </c>
      <c r="B170" s="11" t="s">
        <v>156</v>
      </c>
      <c r="C170" s="11" t="s">
        <v>230</v>
      </c>
      <c r="D170" s="11" t="s">
        <v>231</v>
      </c>
      <c r="E170" s="17">
        <v>931980</v>
      </c>
      <c r="F170" s="33">
        <v>37636</v>
      </c>
      <c r="G170" s="12">
        <v>4.4969999999999999</v>
      </c>
      <c r="H170" s="9">
        <v>85</v>
      </c>
      <c r="I170" s="10" t="s">
        <v>156</v>
      </c>
      <c r="J170" s="10" t="s">
        <v>1050</v>
      </c>
      <c r="K170" s="10" t="s">
        <v>1065</v>
      </c>
    </row>
    <row r="171" spans="1:11" x14ac:dyDescent="0.3">
      <c r="A171" s="4" t="s">
        <v>14</v>
      </c>
      <c r="B171" s="4" t="s">
        <v>15</v>
      </c>
      <c r="C171" s="4" t="s">
        <v>16</v>
      </c>
      <c r="D171" s="4" t="s">
        <v>17</v>
      </c>
      <c r="E171" s="18">
        <v>940000</v>
      </c>
      <c r="F171" s="5">
        <v>39262</v>
      </c>
      <c r="G171" s="3">
        <v>4.84</v>
      </c>
      <c r="H171" s="9">
        <v>85</v>
      </c>
      <c r="I171" s="10" t="s">
        <v>156</v>
      </c>
      <c r="J171" s="10" t="s">
        <v>1050</v>
      </c>
      <c r="K171" s="10" t="s">
        <v>1057</v>
      </c>
    </row>
    <row r="172" spans="1:11" x14ac:dyDescent="0.3">
      <c r="A172" s="4" t="s">
        <v>33</v>
      </c>
      <c r="B172" s="4" t="s">
        <v>34</v>
      </c>
      <c r="C172" s="4" t="s">
        <v>35</v>
      </c>
      <c r="D172" s="4" t="s">
        <v>36</v>
      </c>
      <c r="E172" s="18">
        <v>1275000</v>
      </c>
      <c r="F172" s="5">
        <v>42181</v>
      </c>
      <c r="G172" s="3">
        <v>4.7110000000000003</v>
      </c>
      <c r="H172" s="9">
        <v>85</v>
      </c>
      <c r="I172" s="10" t="s">
        <v>156</v>
      </c>
      <c r="J172" s="10" t="s">
        <v>1050</v>
      </c>
      <c r="K172" s="10" t="s">
        <v>1057</v>
      </c>
    </row>
    <row r="173" spans="1:11" x14ac:dyDescent="0.3">
      <c r="A173" s="27" t="s">
        <v>1313</v>
      </c>
      <c r="B173" s="27" t="s">
        <v>156</v>
      </c>
      <c r="C173" s="27" t="s">
        <v>1193</v>
      </c>
      <c r="D173" s="27" t="s">
        <v>1314</v>
      </c>
      <c r="E173" s="32">
        <v>1500000</v>
      </c>
      <c r="F173" s="28">
        <v>43692</v>
      </c>
      <c r="G173" s="29">
        <v>3.11</v>
      </c>
      <c r="H173" s="30" cm="1">
        <f t="array" ref="H173">_xlfn.IFS(I173="Founder / Owner",IF(ISNUMBER(SEARCH("owner",B173)),80,96),I173="C-Suite",IF(OR(ISNUMBER(SEARCH("ceo",B173)),ISNUMBER(SEARCH("chief executive",B173))),95,91),I173="Managing Director",86,I173="Partner",IF(OR(ISNUMBER(SEARCH("managing partner",B173)),ISNUMBER(SEARCH("general partner",B173))),88,85),I173="VP / Head",_xlfn.IFS(OR(ISNUMBER(SEARCH("vice president",B173)),ISNUMBER(SEARCH("executive vice",B173))),91,ISNUMBER(SEARCH("svp",B173)),77,TRUE,73),I173="Director",IF(ISNUMBER(SEARCH("principal",B173)),72,71),I173="Individual Contributor",32,OR(ISNUMBER(SEARCH("surgeon",B173)),ISNUMBER(SEARCH("physician",B173)),ISNUMBER(SEARCH("doctor",B173)),ISNUMBER(SEARCH("dentist",B173)),ISNUMBER(SEARCH("psychiat",B173)),ISNUMBER(SEARCH("oncolog",B173)),ISNUMBER(SEARCH("neurolog",B173)),ISNUMBER(SEARCH("patholog",B173)),ISNUMBER(SEARCH("medicine",B173)),ISNUMBER(SEARCH("obgyn",B173))),77,OR(ISNUMBER(SEARCH("portfolio manager",B173)),ISNUMBER(SEARCH("wealth advisor",B173))),81,OR(ISNUMBER(SEARCH("lawyer",B173)),ISNUMBER(SEARCH("attorney",B173))),68,ISNUMBER(SEARCH("counsel",B173)),66,ISNUMBER(SEARCH("professor",B173)),63,OR(ISNUMBER(SEARCH("engineer",B173)),ISNUMBER(SEARCH("consultant",B173))),62,ISNUMBER(SEARCH("senior manager",B173)),64,OR(ISNUMBER(SEARCH("realtor",B173)),ISNUMBER(SEARCH("broker",B173)),ISNUMBER(SEARCH("journalist",B173)),ISNUMBER(SEARCH("columnist",B173)),ISNUMBER(SEARCH("trader",B173)),ISNUMBER(SEARCH("actor",B173))),50,TRUE,60)</f>
        <v>85</v>
      </c>
      <c r="I173" s="31" t="str" cm="1">
        <f t="array" ref="I173">_xlfn.LET(_xlpm.p," "&amp;LOWER(SUBSTITUTE(SUBSTITUTE(SUBSTITUTE(B173,",","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3" s="31" t="str" cm="1">
        <f t="array" ref="J173">_xlfn.IFS(H173&gt;=90,"Very High",H173&gt;=80,"High",H173&gt;=56,"Medium",TRUE,"Low")</f>
        <v>High</v>
      </c>
      <c r="K173" s="31" t="str" cm="1">
        <f t="array" ref="K173">_xlfn.IFS(OR(ISNUMBER(SEARCH("hospital",C173)),ISNUMBER(SEARCH("health",C173)),ISNUMBER(SEARCH("medical",C173)),ISNUMBER(SEARCH("clinic",C173)),ISNUMBER(SEARCH("nursing",C173)),ISNUMBER(SEARCH("care cent",C173)),ISNUMBER(SEARCH("physician",B173)),ISNUMBER(SEARCH("doctor",B173)),ISNUMBER(SEARCH("dentist",B173)),ISNUMBER(SEARCH("surgeon",B173)),ISNUMBER(SEARCH("psychiat",B173)),ISNUMBER(SEARCH("medicine",B173))),"Healthcare",OR(ISNUMBER(SEARCH("llp",C173)),ISNUMBER(SEARCH("lawyer",B173)),ISNUMBER(SEARCH("attorney",B173)),ISNUMBER(SEARCH("legal",C173)),ISNUMBER(SEARCH("tetrault",C173)),ISNUMBER(SEARCH("morley",C173)),ISNUMBER(SEARCH("blg",C173)),ISNUMBER(SEARCH("lowy",C173)),ISNUMBER(SEARCH("riley",C173)),ISNUMBER(SEARCH("toomath",C173))),"Law",OR(ISNUMBER(SEARCH("reit",C173)),ISNUMBER(SEARCH("properties",C173)),ISNUMBER(SEARCH("realty",C173)),ISNUMBER(SEARCH("realtor",B173)),ISNUMBER(SEARCH("colliers",C173)),ISNUMBER(SEARCH("re/max",C173)),ISNUMBER(SEARCH("quadreal",C173)),ISNUMBER(SEARCH("vic management",C173))),"Real Estate",OR(ISNUMBER(SEARCH("deloitte",C173)),ISNUMBER(SEARCH("kpmg",C173)),ISNUMBER(SEARCH("pwc",C173)),ISNUMBER(SEARCH("consulting",C173)),ISNUMBER(SEARCH("consultant",B173)),ISNUMBER(SEARCH("advisory",C173)),ISNUMBER(SEARCH("philanthropic",C173)),ISNUMBER(SEARCH("argyle",C173)),ISNUMBER(SEARCH("quinn",C173))),"Consulting",OR(ISNUMBER(SEARCH("media",C173)),ISNUMBER(SEARCH("news",C173)),ISNUMBER(SEARCH("radio",C173)),ISNUMBER(SEARCH("film",C173)),ISNUMBER(SEARCH("journalist",B173)),ISNUMBER(SEARCH("columnist",B173)),ISNUMBER(SEARCH("globe",C173)),ISNUMBER(SEARCH("marketing",C173)),ISNUMBER(SEARCH("actor",B173))),"Media",OR(ISNUMBER(SEARCH("rbc",C173)),ISNUMBER(SEARCH("cibc",C173)),ISNUMBER(SEARCH("bmo",C173)),ISNUMBER(SEARCH("scotia",C173)),ISNUMBER(SEARCH("bank",C173)),ISNUMBER(SEARCH("capital",C173)),ISNUMBER(SEARCH("wealth",C173)),ISNUMBER(SEARCH("financial",C173)),ISNUMBER(SEARCH("securities",C173)),ISNUMBER(SEARCH("fidelity",C173)),ISNUMBER(SEARCH("guardian",C173)),ISNUMBER(SEARCH("wealthsimple",C173)),ISNUMBER(SEARCH("credit suisse",C173)),ISNUMBER(SEARCH("tmx",C173)),ISNUMBER(SEARCH("investors",C173)),ISNUMBER(SEARCH("trader",B173))),"Finance",OR(ISNUMBER(SEARCH("ventures",C173)),ISNUMBER(SEARCH("private equity",B173)),ISNUMBER(SEARCH("capital partners",C173))),"Private Equity / VC",OR(ISNUMBER(SEARCH("government",C173)),ISNUMBER(SEARCH("ministry",C173)),ISNUMBER(SEARCH("tribunal",C173)),ISNUMBER(SEARCH("tdsb",C173)),ISNUMBER(SEARCH("public service",C173))),"Government",OR(ISNUMBER(SEARCH("association",C173)),ISNUMBER(SEARCH("institute",C173)),ISNUMBER(SEARCH("foundation",C173))),"Nonprofit",OR(ISNUMBER(SEARCH("software",C173)),ISNUMBER(SEARCH("tech",C173)),ISNUMBER(SEARCH("systems",C173)),ISNUMBER(SEARCH("digital",C173)),ISNUMBER(SEARCH("engineering",C173)),ISNUMBER(SEARCH("solutions",C173))),"Technology",TRUE,"Other")</f>
        <v>Law</v>
      </c>
    </row>
    <row r="174" spans="1:11" x14ac:dyDescent="0.3">
      <c r="A174" s="11" t="s">
        <v>163</v>
      </c>
      <c r="B174" s="11" t="s">
        <v>156</v>
      </c>
      <c r="C174" s="11" t="s">
        <v>164</v>
      </c>
      <c r="D174" s="11" t="s">
        <v>165</v>
      </c>
      <c r="E174" s="17">
        <v>1500000</v>
      </c>
      <c r="F174" s="33">
        <v>43433</v>
      </c>
      <c r="G174" s="12">
        <v>4.4859999999999998</v>
      </c>
      <c r="H174" s="9">
        <v>85</v>
      </c>
      <c r="I174" s="10" t="s">
        <v>156</v>
      </c>
      <c r="J174" s="10" t="s">
        <v>1050</v>
      </c>
      <c r="K174" s="10" t="s">
        <v>1059</v>
      </c>
    </row>
    <row r="175" spans="1:11" x14ac:dyDescent="0.3">
      <c r="A175" s="4" t="s">
        <v>781</v>
      </c>
      <c r="B175" s="4" t="s">
        <v>156</v>
      </c>
      <c r="C175" s="4" t="s">
        <v>782</v>
      </c>
      <c r="D175" s="4" t="s">
        <v>783</v>
      </c>
      <c r="E175" s="18">
        <v>1885000</v>
      </c>
      <c r="F175" s="5">
        <v>41198</v>
      </c>
      <c r="G175" s="6">
        <v>3.92</v>
      </c>
      <c r="H175" s="9">
        <v>85</v>
      </c>
      <c r="I175" s="10" t="s">
        <v>156</v>
      </c>
      <c r="J175" s="10" t="s">
        <v>1050</v>
      </c>
      <c r="K175" s="10" t="s">
        <v>1057</v>
      </c>
    </row>
    <row r="176" spans="1:11" x14ac:dyDescent="0.3">
      <c r="A176" s="7" t="s">
        <v>772</v>
      </c>
      <c r="B176" s="7" t="s">
        <v>156</v>
      </c>
      <c r="C176" s="7" t="s">
        <v>773</v>
      </c>
      <c r="D176" s="7" t="s">
        <v>774</v>
      </c>
      <c r="E176" s="16">
        <v>1900000</v>
      </c>
      <c r="F176" s="34">
        <v>41138</v>
      </c>
      <c r="G176" s="3">
        <v>3.89</v>
      </c>
      <c r="H176" s="9">
        <v>85</v>
      </c>
      <c r="I176" s="10" t="s">
        <v>156</v>
      </c>
      <c r="J176" s="10" t="s">
        <v>1050</v>
      </c>
      <c r="K176" s="10" t="s">
        <v>1059</v>
      </c>
    </row>
    <row r="177" spans="1:11" x14ac:dyDescent="0.3">
      <c r="A177" s="11" t="s">
        <v>1138</v>
      </c>
      <c r="B177" s="11" t="s">
        <v>156</v>
      </c>
      <c r="C177" s="13" t="s">
        <v>175</v>
      </c>
      <c r="D177" s="13" t="s">
        <v>1139</v>
      </c>
      <c r="E177" s="17">
        <v>2342000</v>
      </c>
      <c r="F177" s="33">
        <v>44334</v>
      </c>
      <c r="G177" s="14">
        <v>3.24</v>
      </c>
      <c r="H177" s="9">
        <v>85</v>
      </c>
      <c r="I177" s="10" t="s">
        <v>156</v>
      </c>
      <c r="J177" s="10" t="s">
        <v>1050</v>
      </c>
      <c r="K177" s="10" t="s">
        <v>1065</v>
      </c>
    </row>
    <row r="178" spans="1:11" x14ac:dyDescent="0.3">
      <c r="A178" s="4" t="s">
        <v>1140</v>
      </c>
      <c r="B178" s="4" t="s">
        <v>156</v>
      </c>
      <c r="C178" s="4" t="s">
        <v>181</v>
      </c>
      <c r="D178" s="4" t="s">
        <v>1139</v>
      </c>
      <c r="E178" s="18">
        <v>2342000</v>
      </c>
      <c r="F178" s="5">
        <v>44334</v>
      </c>
      <c r="G178" s="6">
        <v>3.24</v>
      </c>
      <c r="H178" s="9">
        <v>85</v>
      </c>
      <c r="I178" s="10" t="s">
        <v>156</v>
      </c>
      <c r="J178" s="10" t="s">
        <v>1050</v>
      </c>
      <c r="K178" s="10" t="s">
        <v>1065</v>
      </c>
    </row>
    <row r="179" spans="1:11" x14ac:dyDescent="0.3">
      <c r="A179" s="11" t="s">
        <v>1130</v>
      </c>
      <c r="B179" s="11" t="s">
        <v>156</v>
      </c>
      <c r="C179" s="11" t="s">
        <v>1131</v>
      </c>
      <c r="D179" s="11" t="s">
        <v>1129</v>
      </c>
      <c r="E179" s="17">
        <v>2922000</v>
      </c>
      <c r="F179" s="33">
        <v>45531</v>
      </c>
      <c r="G179" s="12">
        <v>3.33</v>
      </c>
      <c r="H179" s="9">
        <v>85</v>
      </c>
      <c r="I179" s="10" t="s">
        <v>156</v>
      </c>
      <c r="J179" s="10" t="s">
        <v>1050</v>
      </c>
      <c r="K179" s="10" t="s">
        <v>1057</v>
      </c>
    </row>
    <row r="180" spans="1:11" x14ac:dyDescent="0.3">
      <c r="A180" s="4" t="s">
        <v>532</v>
      </c>
      <c r="B180" s="4" t="s">
        <v>156</v>
      </c>
      <c r="C180" s="4" t="s">
        <v>533</v>
      </c>
      <c r="D180" s="4" t="s">
        <v>534</v>
      </c>
      <c r="E180" s="18">
        <v>3200000</v>
      </c>
      <c r="F180" s="5">
        <v>42020</v>
      </c>
      <c r="G180" s="6">
        <v>4.16</v>
      </c>
      <c r="H180" s="9">
        <v>85</v>
      </c>
      <c r="I180" s="10" t="s">
        <v>156</v>
      </c>
      <c r="J180" s="10" t="s">
        <v>1050</v>
      </c>
      <c r="K180" s="10" t="s">
        <v>1057</v>
      </c>
    </row>
    <row r="181" spans="1:11" x14ac:dyDescent="0.3">
      <c r="A181" s="27" t="s">
        <v>1286</v>
      </c>
      <c r="B181" s="27" t="s">
        <v>156</v>
      </c>
      <c r="C181" s="27" t="s">
        <v>1287</v>
      </c>
      <c r="D181" s="27" t="s">
        <v>1288</v>
      </c>
      <c r="E181" s="32">
        <v>3218018</v>
      </c>
      <c r="F181" s="28">
        <v>44316</v>
      </c>
      <c r="G181" s="29">
        <v>3.04</v>
      </c>
      <c r="H181" s="30" cm="1">
        <f t="array" ref="H181">_xlfn.IFS(I181="Founder / Owner",IF(ISNUMBER(SEARCH("owner",B181)),80,96),I181="C-Suite",IF(OR(ISNUMBER(SEARCH("ceo",B181)),ISNUMBER(SEARCH("chief executive",B181))),95,91),I181="Managing Director",86,I181="Partner",IF(OR(ISNUMBER(SEARCH("managing partner",B181)),ISNUMBER(SEARCH("general partner",B181))),88,85),I181="VP / Head",_xlfn.IFS(OR(ISNUMBER(SEARCH("vice president",B181)),ISNUMBER(SEARCH("executive vice",B181))),91,ISNUMBER(SEARCH("svp",B181)),77,TRUE,73),I181="Director",IF(ISNUMBER(SEARCH("principal",B181)),72,71),I181="Individual Contributor",32,OR(ISNUMBER(SEARCH("surgeon",B181)),ISNUMBER(SEARCH("physician",B181)),ISNUMBER(SEARCH("doctor",B181)),ISNUMBER(SEARCH("dentist",B181)),ISNUMBER(SEARCH("psychiat",B181)),ISNUMBER(SEARCH("oncolog",B181)),ISNUMBER(SEARCH("neurolog",B181)),ISNUMBER(SEARCH("patholog",B181)),ISNUMBER(SEARCH("medicine",B181)),ISNUMBER(SEARCH("obgyn",B181))),77,OR(ISNUMBER(SEARCH("portfolio manager",B181)),ISNUMBER(SEARCH("wealth advisor",B181))),81,OR(ISNUMBER(SEARCH("lawyer",B181)),ISNUMBER(SEARCH("attorney",B181))),68,ISNUMBER(SEARCH("counsel",B181)),66,ISNUMBER(SEARCH("professor",B181)),63,OR(ISNUMBER(SEARCH("engineer",B181)),ISNUMBER(SEARCH("consultant",B181))),62,ISNUMBER(SEARCH("senior manager",B181)),64,OR(ISNUMBER(SEARCH("realtor",B181)),ISNUMBER(SEARCH("broker",B181)),ISNUMBER(SEARCH("journalist",B181)),ISNUMBER(SEARCH("columnist",B181)),ISNUMBER(SEARCH("trader",B181)),ISNUMBER(SEARCH("actor",B181))),50,TRUE,60)</f>
        <v>85</v>
      </c>
      <c r="I181" s="31" t="str" cm="1">
        <f t="array" ref="I181">_xlfn.LET(_xlpm.p," "&amp;LOWER(SUBSTITUTE(SUBSTITUTE(SUBSTITUTE(B181,",","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1" s="31" t="str" cm="1">
        <f t="array" ref="J181">_xlfn.IFS(H181&gt;=90,"Very High",H181&gt;=80,"High",H181&gt;=56,"Medium",TRUE,"Low")</f>
        <v>High</v>
      </c>
      <c r="K181" s="31" t="str" cm="1">
        <f t="array" ref="K181">_xlfn.IFS(OR(ISNUMBER(SEARCH("hospital",C181)),ISNUMBER(SEARCH("health",C181)),ISNUMBER(SEARCH("medical",C181)),ISNUMBER(SEARCH("clinic",C181)),ISNUMBER(SEARCH("nursing",C181)),ISNUMBER(SEARCH("care cent",C181)),ISNUMBER(SEARCH("physician",B181)),ISNUMBER(SEARCH("doctor",B181)),ISNUMBER(SEARCH("dentist",B181)),ISNUMBER(SEARCH("surgeon",B181)),ISNUMBER(SEARCH("psychiat",B181)),ISNUMBER(SEARCH("medicine",B181))),"Healthcare",OR(ISNUMBER(SEARCH("llp",C181)),ISNUMBER(SEARCH("lawyer",B181)),ISNUMBER(SEARCH("attorney",B181)),ISNUMBER(SEARCH("legal",C181)),ISNUMBER(SEARCH("tetrault",C181)),ISNUMBER(SEARCH("morley",C181)),ISNUMBER(SEARCH("blg",C181)),ISNUMBER(SEARCH("lowy",C181)),ISNUMBER(SEARCH("riley",C181)),ISNUMBER(SEARCH("toomath",C181))),"Law",OR(ISNUMBER(SEARCH("reit",C181)),ISNUMBER(SEARCH("properties",C181)),ISNUMBER(SEARCH("realty",C181)),ISNUMBER(SEARCH("realtor",B181)),ISNUMBER(SEARCH("colliers",C181)),ISNUMBER(SEARCH("re/max",C181)),ISNUMBER(SEARCH("quadreal",C181)),ISNUMBER(SEARCH("vic management",C181))),"Real Estate",OR(ISNUMBER(SEARCH("deloitte",C181)),ISNUMBER(SEARCH("kpmg",C181)),ISNUMBER(SEARCH("pwc",C181)),ISNUMBER(SEARCH("consulting",C181)),ISNUMBER(SEARCH("consultant",B181)),ISNUMBER(SEARCH("advisory",C181)),ISNUMBER(SEARCH("philanthropic",C181)),ISNUMBER(SEARCH("argyle",C181)),ISNUMBER(SEARCH("quinn",C181))),"Consulting",OR(ISNUMBER(SEARCH("media",C181)),ISNUMBER(SEARCH("news",C181)),ISNUMBER(SEARCH("radio",C181)),ISNUMBER(SEARCH("film",C181)),ISNUMBER(SEARCH("journalist",B181)),ISNUMBER(SEARCH("columnist",B181)),ISNUMBER(SEARCH("globe",C181)),ISNUMBER(SEARCH("marketing",C181)),ISNUMBER(SEARCH("actor",B181))),"Media",OR(ISNUMBER(SEARCH("rbc",C181)),ISNUMBER(SEARCH("cibc",C181)),ISNUMBER(SEARCH("bmo",C181)),ISNUMBER(SEARCH("scotia",C181)),ISNUMBER(SEARCH("bank",C181)),ISNUMBER(SEARCH("capital",C181)),ISNUMBER(SEARCH("wealth",C181)),ISNUMBER(SEARCH("financial",C181)),ISNUMBER(SEARCH("securities",C181)),ISNUMBER(SEARCH("fidelity",C181)),ISNUMBER(SEARCH("guardian",C181)),ISNUMBER(SEARCH("wealthsimple",C181)),ISNUMBER(SEARCH("credit suisse",C181)),ISNUMBER(SEARCH("tmx",C181)),ISNUMBER(SEARCH("investors",C181)),ISNUMBER(SEARCH("trader",B181))),"Finance",OR(ISNUMBER(SEARCH("ventures",C181)),ISNUMBER(SEARCH("private equity",B181)),ISNUMBER(SEARCH("capital partners",C181))),"Private Equity / VC",OR(ISNUMBER(SEARCH("government",C181)),ISNUMBER(SEARCH("ministry",C181)),ISNUMBER(SEARCH("tribunal",C181)),ISNUMBER(SEARCH("tdsb",C181)),ISNUMBER(SEARCH("public service",C181))),"Government",OR(ISNUMBER(SEARCH("association",C181)),ISNUMBER(SEARCH("institute",C181)),ISNUMBER(SEARCH("foundation",C181))),"Nonprofit",OR(ISNUMBER(SEARCH("software",C181)),ISNUMBER(SEARCH("tech",C181)),ISNUMBER(SEARCH("systems",C181)),ISNUMBER(SEARCH("digital",C181)),ISNUMBER(SEARCH("engineering",C181)),ISNUMBER(SEARCH("solutions",C181))),"Technology",TRUE,"Other")</f>
        <v>Law</v>
      </c>
    </row>
    <row r="182" spans="1:11" x14ac:dyDescent="0.3">
      <c r="A182" s="11" t="s">
        <v>503</v>
      </c>
      <c r="B182" s="11" t="s">
        <v>156</v>
      </c>
      <c r="C182" s="11" t="s">
        <v>504</v>
      </c>
      <c r="D182" s="11" t="s">
        <v>505</v>
      </c>
      <c r="E182" s="17">
        <v>3475000</v>
      </c>
      <c r="F182" s="33">
        <v>44475</v>
      </c>
      <c r="G182" s="12">
        <v>4.2</v>
      </c>
      <c r="H182" s="9">
        <v>85</v>
      </c>
      <c r="I182" s="10" t="s">
        <v>156</v>
      </c>
      <c r="J182" s="10" t="s">
        <v>1050</v>
      </c>
      <c r="K182" s="10" t="s">
        <v>1065</v>
      </c>
    </row>
    <row r="183" spans="1:11" x14ac:dyDescent="0.3">
      <c r="A183" s="4" t="s">
        <v>180</v>
      </c>
      <c r="B183" s="4" t="s">
        <v>156</v>
      </c>
      <c r="C183" s="4" t="s">
        <v>181</v>
      </c>
      <c r="D183" s="4" t="s">
        <v>182</v>
      </c>
      <c r="E183" s="18">
        <v>3600100</v>
      </c>
      <c r="F183" s="5">
        <v>44778</v>
      </c>
      <c r="G183" s="6">
        <v>4.633</v>
      </c>
      <c r="H183" s="9">
        <v>85</v>
      </c>
      <c r="I183" s="10" t="s">
        <v>156</v>
      </c>
      <c r="J183" s="10" t="s">
        <v>1050</v>
      </c>
      <c r="K183" s="10" t="s">
        <v>1065</v>
      </c>
    </row>
    <row r="184" spans="1:11" x14ac:dyDescent="0.3">
      <c r="A184" s="4" t="s">
        <v>429</v>
      </c>
      <c r="B184" s="4" t="s">
        <v>156</v>
      </c>
      <c r="C184" s="4" t="s">
        <v>430</v>
      </c>
      <c r="D184" s="4" t="s">
        <v>428</v>
      </c>
      <c r="E184" s="16">
        <v>4155000</v>
      </c>
      <c r="F184" s="5">
        <v>44453</v>
      </c>
      <c r="G184" s="6">
        <v>4.1900000000000004</v>
      </c>
      <c r="H184" s="9">
        <v>85</v>
      </c>
      <c r="I184" s="10" t="s">
        <v>156</v>
      </c>
      <c r="J184" s="10" t="s">
        <v>1050</v>
      </c>
      <c r="K184" s="10" t="s">
        <v>1057</v>
      </c>
    </row>
    <row r="185" spans="1:11" x14ac:dyDescent="0.3">
      <c r="A185" s="4" t="s">
        <v>396</v>
      </c>
      <c r="B185" s="4" t="s">
        <v>156</v>
      </c>
      <c r="C185" s="4" t="s">
        <v>397</v>
      </c>
      <c r="D185" s="4" t="s">
        <v>398</v>
      </c>
      <c r="E185" s="16">
        <v>4600000</v>
      </c>
      <c r="F185" s="5">
        <v>43056</v>
      </c>
      <c r="G185" s="6">
        <v>4.0199999999999996</v>
      </c>
      <c r="H185" s="9">
        <v>85</v>
      </c>
      <c r="I185" s="10" t="s">
        <v>156</v>
      </c>
      <c r="J185" s="10" t="s">
        <v>1050</v>
      </c>
      <c r="K185" s="10" t="s">
        <v>1057</v>
      </c>
    </row>
    <row r="186" spans="1:11" x14ac:dyDescent="0.3">
      <c r="A186" s="4" t="s">
        <v>232</v>
      </c>
      <c r="B186" s="4" t="s">
        <v>156</v>
      </c>
      <c r="C186" s="4" t="s">
        <v>181</v>
      </c>
      <c r="D186" s="4" t="s">
        <v>233</v>
      </c>
      <c r="E186" s="16">
        <v>4850000</v>
      </c>
      <c r="F186" s="5">
        <v>44810</v>
      </c>
      <c r="G186" s="6">
        <v>4.5540000000000003</v>
      </c>
      <c r="H186" s="9">
        <v>85</v>
      </c>
      <c r="I186" s="10" t="s">
        <v>156</v>
      </c>
      <c r="J186" s="10" t="s">
        <v>1050</v>
      </c>
      <c r="K186" s="10" t="s">
        <v>1065</v>
      </c>
    </row>
    <row r="187" spans="1:11" x14ac:dyDescent="0.3">
      <c r="A187" s="11" t="s">
        <v>329</v>
      </c>
      <c r="B187" s="11" t="s">
        <v>330</v>
      </c>
      <c r="C187" s="11" t="s">
        <v>331</v>
      </c>
      <c r="D187" s="11" t="s">
        <v>332</v>
      </c>
      <c r="E187" s="17">
        <v>6195000</v>
      </c>
      <c r="F187" s="33">
        <v>45085</v>
      </c>
      <c r="G187" s="12">
        <v>3.95</v>
      </c>
      <c r="H187" s="9">
        <v>85</v>
      </c>
      <c r="I187" s="10" t="s">
        <v>156</v>
      </c>
      <c r="J187" s="10" t="s">
        <v>1050</v>
      </c>
      <c r="K187" s="10" t="s">
        <v>1059</v>
      </c>
    </row>
    <row r="188" spans="1:11" x14ac:dyDescent="0.3">
      <c r="A188" s="27" t="s">
        <v>1416</v>
      </c>
      <c r="B188" s="27" t="s">
        <v>156</v>
      </c>
      <c r="C188" s="27" t="s">
        <v>1475</v>
      </c>
      <c r="D188" s="27" t="s">
        <v>1417</v>
      </c>
      <c r="E188" s="32" t="s">
        <v>1280</v>
      </c>
      <c r="F188" s="28">
        <v>46106</v>
      </c>
      <c r="G188" s="29">
        <v>3.2</v>
      </c>
      <c r="H188" s="30" cm="1">
        <f t="array" ref="H188">_xlfn.IFS(I188="Founder / Owner",IF(ISNUMBER(SEARCH("owner",B188)),80,96),I188="C-Suite",IF(OR(ISNUMBER(SEARCH("ceo",B188)),ISNUMBER(SEARCH("chief executive",B188))),95,91),I188="Managing Director",86,I188="Partner",IF(OR(ISNUMBER(SEARCH("managing partner",B188)),ISNUMBER(SEARCH("general partner",B188))),88,85),I188="VP / Head",_xlfn.IFS(OR(ISNUMBER(SEARCH("vice president",B188)),ISNUMBER(SEARCH("executive vice",B188))),91,ISNUMBER(SEARCH("svp",B188)),77,TRUE,73),I188="Director",IF(ISNUMBER(SEARCH("principal",B188)),72,71),I188="Individual Contributor",32,OR(ISNUMBER(SEARCH("surgeon",B188)),ISNUMBER(SEARCH("physician",B188)),ISNUMBER(SEARCH("doctor",B188)),ISNUMBER(SEARCH("dentist",B188)),ISNUMBER(SEARCH("psychiat",B188)),ISNUMBER(SEARCH("oncolog",B188)),ISNUMBER(SEARCH("neurolog",B188)),ISNUMBER(SEARCH("patholog",B188)),ISNUMBER(SEARCH("medicine",B188)),ISNUMBER(SEARCH("obgyn",B188))),77,OR(ISNUMBER(SEARCH("portfolio manager",B188)),ISNUMBER(SEARCH("wealth advisor",B188))),81,OR(ISNUMBER(SEARCH("lawyer",B188)),ISNUMBER(SEARCH("attorney",B188))),68,ISNUMBER(SEARCH("counsel",B188)),66,ISNUMBER(SEARCH("professor",B188)),63,OR(ISNUMBER(SEARCH("engineer",B188)),ISNUMBER(SEARCH("consultant",B188))),62,ISNUMBER(SEARCH("senior manager",B188)),64,OR(ISNUMBER(SEARCH("realtor",B188)),ISNUMBER(SEARCH("broker",B188)),ISNUMBER(SEARCH("journalist",B188)),ISNUMBER(SEARCH("columnist",B188)),ISNUMBER(SEARCH("trader",B188)),ISNUMBER(SEARCH("actor",B188))),50,TRUE,60)</f>
        <v>85</v>
      </c>
      <c r="I188" s="31" t="str" cm="1">
        <f t="array" ref="I188">_xlfn.LET(_xlpm.p," "&amp;LOWER(SUBSTITUTE(SUBSTITUTE(SUBSTITUTE(B188,",","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8" s="31" t="str" cm="1">
        <f t="array" ref="J188">_xlfn.IFS(H188&gt;=90,"Very High",H188&gt;=80,"High",H188&gt;=56,"Medium",TRUE,"Low")</f>
        <v>High</v>
      </c>
      <c r="K188" s="31" t="str" cm="1">
        <f t="array" ref="K188">_xlfn.IFS(OR(ISNUMBER(SEARCH("hospital",C188)),ISNUMBER(SEARCH("health",C188)),ISNUMBER(SEARCH("medical",C188)),ISNUMBER(SEARCH("clinic",C188)),ISNUMBER(SEARCH("nursing",C188)),ISNUMBER(SEARCH("care cent",C188)),ISNUMBER(SEARCH("physician",B188)),ISNUMBER(SEARCH("doctor",B188)),ISNUMBER(SEARCH("dentist",B188)),ISNUMBER(SEARCH("surgeon",B188)),ISNUMBER(SEARCH("psychiat",B188)),ISNUMBER(SEARCH("medicine",B188))),"Healthcare",OR(ISNUMBER(SEARCH("llp",C188)),ISNUMBER(SEARCH("lawyer",B188)),ISNUMBER(SEARCH("attorney",B188)),ISNUMBER(SEARCH("legal",C188)),ISNUMBER(SEARCH("tetrault",C188)),ISNUMBER(SEARCH("morley",C188)),ISNUMBER(SEARCH("blg",C188)),ISNUMBER(SEARCH("lowy",C188)),ISNUMBER(SEARCH("riley",C188)),ISNUMBER(SEARCH("toomath",C188))),"Law",OR(ISNUMBER(SEARCH("reit",C188)),ISNUMBER(SEARCH("properties",C188)),ISNUMBER(SEARCH("realty",C188)),ISNUMBER(SEARCH("realtor",B188)),ISNUMBER(SEARCH("colliers",C188)),ISNUMBER(SEARCH("re/max",C188)),ISNUMBER(SEARCH("quadreal",C188)),ISNUMBER(SEARCH("vic management",C188))),"Real Estate",OR(ISNUMBER(SEARCH("deloitte",C188)),ISNUMBER(SEARCH("kpmg",C188)),ISNUMBER(SEARCH("pwc",C188)),ISNUMBER(SEARCH("consulting",C188)),ISNUMBER(SEARCH("consultant",B188)),ISNUMBER(SEARCH("advisory",C188)),ISNUMBER(SEARCH("philanthropic",C188)),ISNUMBER(SEARCH("argyle",C188)),ISNUMBER(SEARCH("quinn",C188))),"Consulting",OR(ISNUMBER(SEARCH("media",C188)),ISNUMBER(SEARCH("news",C188)),ISNUMBER(SEARCH("radio",C188)),ISNUMBER(SEARCH("film",C188)),ISNUMBER(SEARCH("journalist",B188)),ISNUMBER(SEARCH("columnist",B188)),ISNUMBER(SEARCH("globe",C188)),ISNUMBER(SEARCH("marketing",C188)),ISNUMBER(SEARCH("actor",B188))),"Media",OR(ISNUMBER(SEARCH("rbc",C188)),ISNUMBER(SEARCH("cibc",C188)),ISNUMBER(SEARCH("bmo",C188)),ISNUMBER(SEARCH("scotia",C188)),ISNUMBER(SEARCH("bank",C188)),ISNUMBER(SEARCH("capital",C188)),ISNUMBER(SEARCH("wealth",C188)),ISNUMBER(SEARCH("financial",C188)),ISNUMBER(SEARCH("securities",C188)),ISNUMBER(SEARCH("fidelity",C188)),ISNUMBER(SEARCH("guardian",C188)),ISNUMBER(SEARCH("wealthsimple",C188)),ISNUMBER(SEARCH("credit suisse",C188)),ISNUMBER(SEARCH("tmx",C188)),ISNUMBER(SEARCH("investors",C188)),ISNUMBER(SEARCH("trader",B188))),"Finance",OR(ISNUMBER(SEARCH("ventures",C188)),ISNUMBER(SEARCH("private equity",B188)),ISNUMBER(SEARCH("capital partners",C188))),"Private Equity / VC",OR(ISNUMBER(SEARCH("government",C188)),ISNUMBER(SEARCH("ministry",C188)),ISNUMBER(SEARCH("tribunal",C188)),ISNUMBER(SEARCH("tdsb",C188)),ISNUMBER(SEARCH("public service",C188))),"Government",OR(ISNUMBER(SEARCH("association",C188)),ISNUMBER(SEARCH("institute",C188)),ISNUMBER(SEARCH("foundation",C188))),"Nonprofit",OR(ISNUMBER(SEARCH("software",C188)),ISNUMBER(SEARCH("tech",C188)),ISNUMBER(SEARCH("systems",C188)),ISNUMBER(SEARCH("digital",C188)),ISNUMBER(SEARCH("engineering",C188)),ISNUMBER(SEARCH("solutions",C188))),"Technology",TRUE,"Other")</f>
        <v>Law</v>
      </c>
    </row>
    <row r="189" spans="1:11" x14ac:dyDescent="0.3">
      <c r="A189" s="7" t="s">
        <v>951</v>
      </c>
      <c r="B189" s="7" t="s">
        <v>156</v>
      </c>
      <c r="C189" s="7" t="s">
        <v>314</v>
      </c>
      <c r="D189" s="7" t="s">
        <v>952</v>
      </c>
      <c r="E189" s="20" t="s">
        <v>1280</v>
      </c>
      <c r="F189" s="34">
        <v>43517</v>
      </c>
      <c r="G189" s="3">
        <v>3.82</v>
      </c>
      <c r="H189" s="9">
        <v>85</v>
      </c>
      <c r="I189" s="10" t="s">
        <v>156</v>
      </c>
      <c r="J189" s="10" t="s">
        <v>1050</v>
      </c>
      <c r="K189" s="10" t="s">
        <v>1057</v>
      </c>
    </row>
    <row r="190" spans="1:11" x14ac:dyDescent="0.3">
      <c r="A190" s="4" t="s">
        <v>953</v>
      </c>
      <c r="B190" s="4" t="s">
        <v>156</v>
      </c>
      <c r="C190" s="4" t="s">
        <v>954</v>
      </c>
      <c r="D190" s="4" t="s">
        <v>955</v>
      </c>
      <c r="E190" s="20" t="s">
        <v>1280</v>
      </c>
      <c r="F190" s="5">
        <v>43357</v>
      </c>
      <c r="G190" s="6">
        <v>3.92</v>
      </c>
      <c r="H190" s="9">
        <v>85</v>
      </c>
      <c r="I190" s="10" t="s">
        <v>156</v>
      </c>
      <c r="J190" s="10" t="s">
        <v>1050</v>
      </c>
      <c r="K190" s="10" t="s">
        <v>1057</v>
      </c>
    </row>
    <row r="191" spans="1:11" x14ac:dyDescent="0.3">
      <c r="A191" s="4" t="s">
        <v>1270</v>
      </c>
      <c r="B191" s="4" t="s">
        <v>156</v>
      </c>
      <c r="C191" s="4" t="s">
        <v>1271</v>
      </c>
      <c r="D191" s="4" t="s">
        <v>1272</v>
      </c>
      <c r="E191" s="20" t="s">
        <v>1280</v>
      </c>
      <c r="F191" s="5">
        <v>34655</v>
      </c>
      <c r="G191" s="6">
        <v>7</v>
      </c>
      <c r="H191" s="9">
        <v>85</v>
      </c>
      <c r="I191" s="10" t="s">
        <v>156</v>
      </c>
      <c r="J191" s="10" t="s">
        <v>1050</v>
      </c>
      <c r="K191" s="10" t="s">
        <v>1057</v>
      </c>
    </row>
    <row r="192" spans="1:11" x14ac:dyDescent="0.3">
      <c r="A192" s="27" t="s">
        <v>1426</v>
      </c>
      <c r="B192" s="27" t="s">
        <v>156</v>
      </c>
      <c r="C192" s="27" t="s">
        <v>1476</v>
      </c>
      <c r="D192" s="27" t="s">
        <v>1383</v>
      </c>
      <c r="E192" s="32" t="s">
        <v>1280</v>
      </c>
      <c r="F192" s="28">
        <v>31253</v>
      </c>
      <c r="G192" s="29">
        <v>3.07</v>
      </c>
      <c r="H192" s="30" cm="1">
        <f t="array" ref="H192">_xlfn.IFS(I192="Founder / Owner",IF(ISNUMBER(SEARCH("owner",B192)),80,96),I192="C-Suite",IF(OR(ISNUMBER(SEARCH("ceo",B192)),ISNUMBER(SEARCH("chief executive",B192))),95,91),I192="Managing Director",86,I192="Partner",IF(OR(ISNUMBER(SEARCH("managing partner",B192)),ISNUMBER(SEARCH("general partner",B192))),88,85),I192="VP / Head",_xlfn.IFS(OR(ISNUMBER(SEARCH("vice president",B192)),ISNUMBER(SEARCH("executive vice",B192))),91,ISNUMBER(SEARCH("svp",B192)),77,TRUE,73),I192="Director",IF(ISNUMBER(SEARCH("principal",B192)),72,71),I192="Individual Contributor",32,OR(ISNUMBER(SEARCH("surgeon",B192)),ISNUMBER(SEARCH("physician",B192)),ISNUMBER(SEARCH("doctor",B192)),ISNUMBER(SEARCH("dentist",B192)),ISNUMBER(SEARCH("psychiat",B192)),ISNUMBER(SEARCH("oncolog",B192)),ISNUMBER(SEARCH("neurolog",B192)),ISNUMBER(SEARCH("patholog",B192)),ISNUMBER(SEARCH("medicine",B192)),ISNUMBER(SEARCH("obgyn",B192))),77,OR(ISNUMBER(SEARCH("portfolio manager",B192)),ISNUMBER(SEARCH("wealth advisor",B192))),81,OR(ISNUMBER(SEARCH("lawyer",B192)),ISNUMBER(SEARCH("attorney",B192))),68,ISNUMBER(SEARCH("counsel",B192)),66,ISNUMBER(SEARCH("professor",B192)),63,OR(ISNUMBER(SEARCH("engineer",B192)),ISNUMBER(SEARCH("consultant",B192))),62,ISNUMBER(SEARCH("senior manager",B192)),64,OR(ISNUMBER(SEARCH("realtor",B192)),ISNUMBER(SEARCH("broker",B192)),ISNUMBER(SEARCH("journalist",B192)),ISNUMBER(SEARCH("columnist",B192)),ISNUMBER(SEARCH("trader",B192)),ISNUMBER(SEARCH("actor",B192))),50,TRUE,60)</f>
        <v>85</v>
      </c>
      <c r="I192" s="31" t="str" cm="1">
        <f t="array" ref="I192">_xlfn.LET(_xlpm.p," "&amp;LOWER(SUBSTITUTE(SUBSTITUTE(SUBSTITUTE(B192,",","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2" s="31" t="str" cm="1">
        <f t="array" ref="J192">_xlfn.IFS(H192&gt;=90,"Very High",H192&gt;=80,"High",H192&gt;=56,"Medium",TRUE,"Low")</f>
        <v>High</v>
      </c>
      <c r="K192" s="31" t="str" cm="1">
        <f t="array" ref="K192">_xlfn.IFS(OR(ISNUMBER(SEARCH("hospital",C192)),ISNUMBER(SEARCH("health",C192)),ISNUMBER(SEARCH("medical",C192)),ISNUMBER(SEARCH("clinic",C192)),ISNUMBER(SEARCH("nursing",C192)),ISNUMBER(SEARCH("care cent",C192)),ISNUMBER(SEARCH("physician",B192)),ISNUMBER(SEARCH("doctor",B192)),ISNUMBER(SEARCH("dentist",B192)),ISNUMBER(SEARCH("surgeon",B192)),ISNUMBER(SEARCH("psychiat",B192)),ISNUMBER(SEARCH("medicine",B192))),"Healthcare",OR(ISNUMBER(SEARCH("llp",C192)),ISNUMBER(SEARCH("lawyer",B192)),ISNUMBER(SEARCH("attorney",B192)),ISNUMBER(SEARCH("legal",C192)),ISNUMBER(SEARCH("tetrault",C192)),ISNUMBER(SEARCH("morley",C192)),ISNUMBER(SEARCH("blg",C192)),ISNUMBER(SEARCH("lowy",C192)),ISNUMBER(SEARCH("riley",C192)),ISNUMBER(SEARCH("toomath",C192))),"Law",OR(ISNUMBER(SEARCH("reit",C192)),ISNUMBER(SEARCH("properties",C192)),ISNUMBER(SEARCH("realty",C192)),ISNUMBER(SEARCH("realtor",B192)),ISNUMBER(SEARCH("colliers",C192)),ISNUMBER(SEARCH("re/max",C192)),ISNUMBER(SEARCH("quadreal",C192)),ISNUMBER(SEARCH("vic management",C192))),"Real Estate",OR(ISNUMBER(SEARCH("deloitte",C192)),ISNUMBER(SEARCH("kpmg",C192)),ISNUMBER(SEARCH("pwc",C192)),ISNUMBER(SEARCH("consulting",C192)),ISNUMBER(SEARCH("consultant",B192)),ISNUMBER(SEARCH("advisory",C192)),ISNUMBER(SEARCH("philanthropic",C192)),ISNUMBER(SEARCH("argyle",C192)),ISNUMBER(SEARCH("quinn",C192))),"Consulting",OR(ISNUMBER(SEARCH("media",C192)),ISNUMBER(SEARCH("news",C192)),ISNUMBER(SEARCH("radio",C192)),ISNUMBER(SEARCH("film",C192)),ISNUMBER(SEARCH("journalist",B192)),ISNUMBER(SEARCH("columnist",B192)),ISNUMBER(SEARCH("globe",C192)),ISNUMBER(SEARCH("marketing",C192)),ISNUMBER(SEARCH("actor",B192))),"Media",OR(ISNUMBER(SEARCH("rbc",C192)),ISNUMBER(SEARCH("cibc",C192)),ISNUMBER(SEARCH("bmo",C192)),ISNUMBER(SEARCH("scotia",C192)),ISNUMBER(SEARCH("bank",C192)),ISNUMBER(SEARCH("capital",C192)),ISNUMBER(SEARCH("wealth",C192)),ISNUMBER(SEARCH("financial",C192)),ISNUMBER(SEARCH("securities",C192)),ISNUMBER(SEARCH("fidelity",C192)),ISNUMBER(SEARCH("guardian",C192)),ISNUMBER(SEARCH("wealthsimple",C192)),ISNUMBER(SEARCH("credit suisse",C192)),ISNUMBER(SEARCH("tmx",C192)),ISNUMBER(SEARCH("investors",C192)),ISNUMBER(SEARCH("trader",B192))),"Finance",OR(ISNUMBER(SEARCH("ventures",C192)),ISNUMBER(SEARCH("private equity",B192)),ISNUMBER(SEARCH("capital partners",C192))),"Private Equity / VC",OR(ISNUMBER(SEARCH("government",C192)),ISNUMBER(SEARCH("ministry",C192)),ISNUMBER(SEARCH("tribunal",C192)),ISNUMBER(SEARCH("tdsb",C192)),ISNUMBER(SEARCH("public service",C192))),"Government",OR(ISNUMBER(SEARCH("association",C192)),ISNUMBER(SEARCH("institute",C192)),ISNUMBER(SEARCH("foundation",C192))),"Nonprofit",OR(ISNUMBER(SEARCH("software",C192)),ISNUMBER(SEARCH("tech",C192)),ISNUMBER(SEARCH("systems",C192)),ISNUMBER(SEARCH("digital",C192)),ISNUMBER(SEARCH("engineering",C192)),ISNUMBER(SEARCH("solutions",C192))),"Technology",TRUE,"Other")</f>
        <v>Law</v>
      </c>
    </row>
    <row r="193" spans="1:11" x14ac:dyDescent="0.3">
      <c r="A193" s="27" t="s">
        <v>1407</v>
      </c>
      <c r="B193" s="27" t="s">
        <v>156</v>
      </c>
      <c r="C193" s="27" t="s">
        <v>1474</v>
      </c>
      <c r="D193" s="27" t="s">
        <v>1408</v>
      </c>
      <c r="E193" s="32" t="s">
        <v>1280</v>
      </c>
      <c r="F193" s="28">
        <v>45798</v>
      </c>
      <c r="G193" s="29">
        <v>3.25</v>
      </c>
      <c r="H193" s="30" cm="1">
        <f t="array" ref="H193">_xlfn.IFS(I193="Founder / Owner",IF(ISNUMBER(SEARCH("owner",B193)),80,96),I193="C-Suite",IF(OR(ISNUMBER(SEARCH("ceo",B193)),ISNUMBER(SEARCH("chief executive",B193))),95,91),I193="Managing Director",86,I193="Partner",IF(OR(ISNUMBER(SEARCH("managing partner",B193)),ISNUMBER(SEARCH("general partner",B193))),88,85),I193="VP / Head",_xlfn.IFS(OR(ISNUMBER(SEARCH("vice president",B193)),ISNUMBER(SEARCH("executive vice",B193))),91,ISNUMBER(SEARCH("svp",B193)),77,TRUE,73),I193="Director",IF(ISNUMBER(SEARCH("principal",B193)),72,71),I193="Individual Contributor",32,OR(ISNUMBER(SEARCH("surgeon",B193)),ISNUMBER(SEARCH("physician",B193)),ISNUMBER(SEARCH("doctor",B193)),ISNUMBER(SEARCH("dentist",B193)),ISNUMBER(SEARCH("psychiat",B193)),ISNUMBER(SEARCH("oncolog",B193)),ISNUMBER(SEARCH("neurolog",B193)),ISNUMBER(SEARCH("patholog",B193)),ISNUMBER(SEARCH("medicine",B193)),ISNUMBER(SEARCH("obgyn",B193))),77,OR(ISNUMBER(SEARCH("portfolio manager",B193)),ISNUMBER(SEARCH("wealth advisor",B193))),81,OR(ISNUMBER(SEARCH("lawyer",B193)),ISNUMBER(SEARCH("attorney",B193))),68,ISNUMBER(SEARCH("counsel",B193)),66,ISNUMBER(SEARCH("professor",B193)),63,OR(ISNUMBER(SEARCH("engineer",B193)),ISNUMBER(SEARCH("consultant",B193))),62,ISNUMBER(SEARCH("senior manager",B193)),64,OR(ISNUMBER(SEARCH("realtor",B193)),ISNUMBER(SEARCH("broker",B193)),ISNUMBER(SEARCH("journalist",B193)),ISNUMBER(SEARCH("columnist",B193)),ISNUMBER(SEARCH("trader",B193)),ISNUMBER(SEARCH("actor",B193))),50,TRUE,60)</f>
        <v>85</v>
      </c>
      <c r="I193" s="31" t="str" cm="1">
        <f t="array" ref="I193">_xlfn.LET(_xlpm.p," "&amp;LOWER(SUBSTITUTE(SUBSTITUTE(SUBSTITUTE(B193,",","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3" s="31" t="str" cm="1">
        <f t="array" ref="J193">_xlfn.IFS(H193&gt;=90,"Very High",H193&gt;=80,"High",H193&gt;=56,"Medium",TRUE,"Low")</f>
        <v>High</v>
      </c>
      <c r="K193" s="31" t="str" cm="1">
        <f t="array" ref="K193">_xlfn.IFS(OR(ISNUMBER(SEARCH("hospital",C193)),ISNUMBER(SEARCH("health",C193)),ISNUMBER(SEARCH("medical",C193)),ISNUMBER(SEARCH("clinic",C193)),ISNUMBER(SEARCH("nursing",C193)),ISNUMBER(SEARCH("care cent",C193)),ISNUMBER(SEARCH("physician",B193)),ISNUMBER(SEARCH("doctor",B193)),ISNUMBER(SEARCH("dentist",B193)),ISNUMBER(SEARCH("surgeon",B193)),ISNUMBER(SEARCH("psychiat",B193)),ISNUMBER(SEARCH("medicine",B193))),"Healthcare",OR(ISNUMBER(SEARCH("llp",C193)),ISNUMBER(SEARCH("lawyer",B193)),ISNUMBER(SEARCH("attorney",B193)),ISNUMBER(SEARCH("legal",C193)),ISNUMBER(SEARCH("tetrault",C193)),ISNUMBER(SEARCH("morley",C193)),ISNUMBER(SEARCH("blg",C193)),ISNUMBER(SEARCH("lowy",C193)),ISNUMBER(SEARCH("riley",C193)),ISNUMBER(SEARCH("toomath",C193))),"Law",OR(ISNUMBER(SEARCH("reit",C193)),ISNUMBER(SEARCH("properties",C193)),ISNUMBER(SEARCH("realty",C193)),ISNUMBER(SEARCH("realtor",B193)),ISNUMBER(SEARCH("colliers",C193)),ISNUMBER(SEARCH("re/max",C193)),ISNUMBER(SEARCH("quadreal",C193)),ISNUMBER(SEARCH("vic management",C193))),"Real Estate",OR(ISNUMBER(SEARCH("deloitte",C193)),ISNUMBER(SEARCH("kpmg",C193)),ISNUMBER(SEARCH("pwc",C193)),ISNUMBER(SEARCH("consulting",C193)),ISNUMBER(SEARCH("consultant",B193)),ISNUMBER(SEARCH("advisory",C193)),ISNUMBER(SEARCH("philanthropic",C193)),ISNUMBER(SEARCH("argyle",C193)),ISNUMBER(SEARCH("quinn",C193))),"Consulting",OR(ISNUMBER(SEARCH("media",C193)),ISNUMBER(SEARCH("news",C193)),ISNUMBER(SEARCH("radio",C193)),ISNUMBER(SEARCH("film",C193)),ISNUMBER(SEARCH("journalist",B193)),ISNUMBER(SEARCH("columnist",B193)),ISNUMBER(SEARCH("globe",C193)),ISNUMBER(SEARCH("marketing",C193)),ISNUMBER(SEARCH("actor",B193))),"Media",OR(ISNUMBER(SEARCH("rbc",C193)),ISNUMBER(SEARCH("cibc",C193)),ISNUMBER(SEARCH("bmo",C193)),ISNUMBER(SEARCH("scotia",C193)),ISNUMBER(SEARCH("bank",C193)),ISNUMBER(SEARCH("capital",C193)),ISNUMBER(SEARCH("wealth",C193)),ISNUMBER(SEARCH("financial",C193)),ISNUMBER(SEARCH("securities",C193)),ISNUMBER(SEARCH("fidelity",C193)),ISNUMBER(SEARCH("guardian",C193)),ISNUMBER(SEARCH("wealthsimple",C193)),ISNUMBER(SEARCH("credit suisse",C193)),ISNUMBER(SEARCH("tmx",C193)),ISNUMBER(SEARCH("investors",C193)),ISNUMBER(SEARCH("trader",B193))),"Finance",OR(ISNUMBER(SEARCH("ventures",C193)),ISNUMBER(SEARCH("private equity",B193)),ISNUMBER(SEARCH("capital partners",C193))),"Private Equity / VC",OR(ISNUMBER(SEARCH("government",C193)),ISNUMBER(SEARCH("ministry",C193)),ISNUMBER(SEARCH("tribunal",C193)),ISNUMBER(SEARCH("tdsb",C193)),ISNUMBER(SEARCH("public service",C193))),"Government",OR(ISNUMBER(SEARCH("association",C193)),ISNUMBER(SEARCH("institute",C193)),ISNUMBER(SEARCH("foundation",C193))),"Nonprofit",OR(ISNUMBER(SEARCH("software",C193)),ISNUMBER(SEARCH("tech",C193)),ISNUMBER(SEARCH("systems",C193)),ISNUMBER(SEARCH("digital",C193)),ISNUMBER(SEARCH("engineering",C193)),ISNUMBER(SEARCH("solutions",C193))),"Technology",TRUE,"Other")</f>
        <v>Law</v>
      </c>
    </row>
    <row r="194" spans="1:11" x14ac:dyDescent="0.3">
      <c r="A194" s="27" t="s">
        <v>1330</v>
      </c>
      <c r="B194" s="27" t="s">
        <v>156</v>
      </c>
      <c r="C194" s="27" t="s">
        <v>1560</v>
      </c>
      <c r="D194" s="27" t="s">
        <v>1420</v>
      </c>
      <c r="E194" s="32" t="s">
        <v>1280</v>
      </c>
      <c r="F194" s="28">
        <v>39981</v>
      </c>
      <c r="G194" s="29">
        <v>3.22</v>
      </c>
      <c r="H194" s="30" cm="1">
        <f t="array" ref="H194">_xlfn.IFS(I194="Founder / Owner",IF(ISNUMBER(SEARCH("owner",B194)),80,96),I194="C-Suite",IF(OR(ISNUMBER(SEARCH("ceo",B194)),ISNUMBER(SEARCH("chief executive",B194))),95,91),I194="Managing Director",86,I194="Partner",IF(OR(ISNUMBER(SEARCH("managing partner",B194)),ISNUMBER(SEARCH("general partner",B194))),88,85),I194="VP / Head",_xlfn.IFS(OR(ISNUMBER(SEARCH("vice president",B194)),ISNUMBER(SEARCH("executive vice",B194))),91,ISNUMBER(SEARCH("svp",B194)),77,TRUE,73),I194="Director",IF(ISNUMBER(SEARCH("principal",B194)),72,71),I194="Individual Contributor",32,OR(ISNUMBER(SEARCH("surgeon",B194)),ISNUMBER(SEARCH("physician",B194)),ISNUMBER(SEARCH("doctor",B194)),ISNUMBER(SEARCH("dentist",B194)),ISNUMBER(SEARCH("psychiat",B194)),ISNUMBER(SEARCH("oncolog",B194)),ISNUMBER(SEARCH("neurolog",B194)),ISNUMBER(SEARCH("patholog",B194)),ISNUMBER(SEARCH("medicine",B194)),ISNUMBER(SEARCH("obgyn",B194))),77,OR(ISNUMBER(SEARCH("portfolio manager",B194)),ISNUMBER(SEARCH("wealth advisor",B194))),81,OR(ISNUMBER(SEARCH("lawyer",B194)),ISNUMBER(SEARCH("attorney",B194))),68,ISNUMBER(SEARCH("counsel",B194)),66,ISNUMBER(SEARCH("professor",B194)),63,OR(ISNUMBER(SEARCH("engineer",B194)),ISNUMBER(SEARCH("consultant",B194))),62,ISNUMBER(SEARCH("senior manager",B194)),64,OR(ISNUMBER(SEARCH("realtor",B194)),ISNUMBER(SEARCH("broker",B194)),ISNUMBER(SEARCH("journalist",B194)),ISNUMBER(SEARCH("columnist",B194)),ISNUMBER(SEARCH("trader",B194)),ISNUMBER(SEARCH("actor",B194))),50,TRUE,60)</f>
        <v>85</v>
      </c>
      <c r="I194" s="31" t="str" cm="1">
        <f t="array" ref="I194">_xlfn.LET(_xlpm.p," "&amp;LOWER(SUBSTITUTE(SUBSTITUTE(SUBSTITUTE(B194,",","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4" s="31" t="str" cm="1">
        <f t="array" ref="J194">_xlfn.IFS(H194&gt;=90,"Very High",H194&gt;=80,"High",H194&gt;=56,"Medium",TRUE,"Low")</f>
        <v>High</v>
      </c>
      <c r="K194" s="31" t="str" cm="1">
        <f t="array" ref="K194">_xlfn.IFS(OR(ISNUMBER(SEARCH("hospital",C194)),ISNUMBER(SEARCH("health",C194)),ISNUMBER(SEARCH("medical",C194)),ISNUMBER(SEARCH("clinic",C194)),ISNUMBER(SEARCH("nursing",C194)),ISNUMBER(SEARCH("care cent",C194)),ISNUMBER(SEARCH("physician",B194)),ISNUMBER(SEARCH("doctor",B194)),ISNUMBER(SEARCH("dentist",B194)),ISNUMBER(SEARCH("surgeon",B194)),ISNUMBER(SEARCH("psychiat",B194)),ISNUMBER(SEARCH("medicine",B194))),"Healthcare",OR(ISNUMBER(SEARCH("llp",C194)),ISNUMBER(SEARCH("lawyer",B194)),ISNUMBER(SEARCH("attorney",B194)),ISNUMBER(SEARCH("legal",C194)),ISNUMBER(SEARCH("tetrault",C194)),ISNUMBER(SEARCH("morley",C194)),ISNUMBER(SEARCH("blg",C194)),ISNUMBER(SEARCH("lowy",C194)),ISNUMBER(SEARCH("riley",C194)),ISNUMBER(SEARCH("toomath",C194))),"Law",OR(ISNUMBER(SEARCH("reit",C194)),ISNUMBER(SEARCH("properties",C194)),ISNUMBER(SEARCH("realty",C194)),ISNUMBER(SEARCH("realtor",B194)),ISNUMBER(SEARCH("colliers",C194)),ISNUMBER(SEARCH("re/max",C194)),ISNUMBER(SEARCH("quadreal",C194)),ISNUMBER(SEARCH("vic management",C194))),"Real Estate",OR(ISNUMBER(SEARCH("deloitte",C194)),ISNUMBER(SEARCH("kpmg",C194)),ISNUMBER(SEARCH("pwc",C194)),ISNUMBER(SEARCH("consulting",C194)),ISNUMBER(SEARCH("consultant",B194)),ISNUMBER(SEARCH("advisory",C194)),ISNUMBER(SEARCH("philanthropic",C194)),ISNUMBER(SEARCH("argyle",C194)),ISNUMBER(SEARCH("quinn",C194))),"Consulting",OR(ISNUMBER(SEARCH("media",C194)),ISNUMBER(SEARCH("news",C194)),ISNUMBER(SEARCH("radio",C194)),ISNUMBER(SEARCH("film",C194)),ISNUMBER(SEARCH("journalist",B194)),ISNUMBER(SEARCH("columnist",B194)),ISNUMBER(SEARCH("globe",C194)),ISNUMBER(SEARCH("marketing",C194)),ISNUMBER(SEARCH("actor",B194))),"Media",OR(ISNUMBER(SEARCH("rbc",C194)),ISNUMBER(SEARCH("cibc",C194)),ISNUMBER(SEARCH("bmo",C194)),ISNUMBER(SEARCH("scotia",C194)),ISNUMBER(SEARCH("bank",C194)),ISNUMBER(SEARCH("capital",C194)),ISNUMBER(SEARCH("wealth",C194)),ISNUMBER(SEARCH("financial",C194)),ISNUMBER(SEARCH("securities",C194)),ISNUMBER(SEARCH("fidelity",C194)),ISNUMBER(SEARCH("guardian",C194)),ISNUMBER(SEARCH("wealthsimple",C194)),ISNUMBER(SEARCH("credit suisse",C194)),ISNUMBER(SEARCH("tmx",C194)),ISNUMBER(SEARCH("investors",C194)),ISNUMBER(SEARCH("trader",B194))),"Finance",OR(ISNUMBER(SEARCH("ventures",C194)),ISNUMBER(SEARCH("private equity",B194)),ISNUMBER(SEARCH("capital partners",C194))),"Private Equity / VC",OR(ISNUMBER(SEARCH("government",C194)),ISNUMBER(SEARCH("ministry",C194)),ISNUMBER(SEARCH("tribunal",C194)),ISNUMBER(SEARCH("tdsb",C194)),ISNUMBER(SEARCH("public service",C194))),"Government",OR(ISNUMBER(SEARCH("association",C194)),ISNUMBER(SEARCH("institute",C194)),ISNUMBER(SEARCH("foundation",C194))),"Nonprofit",OR(ISNUMBER(SEARCH("software",C194)),ISNUMBER(SEARCH("tech",C194)),ISNUMBER(SEARCH("systems",C194)),ISNUMBER(SEARCH("digital",C194)),ISNUMBER(SEARCH("engineering",C194)),ISNUMBER(SEARCH("solutions",C194))),"Technology",TRUE,"Other")</f>
        <v>Law</v>
      </c>
    </row>
    <row r="195" spans="1:11" x14ac:dyDescent="0.3">
      <c r="A195" s="4" t="s">
        <v>168</v>
      </c>
      <c r="B195" s="4" t="s">
        <v>169</v>
      </c>
      <c r="C195" s="4" t="s">
        <v>170</v>
      </c>
      <c r="D195" s="4" t="s">
        <v>171</v>
      </c>
      <c r="E195" s="18">
        <v>2178000</v>
      </c>
      <c r="F195" s="5">
        <v>44853</v>
      </c>
      <c r="G195" s="6">
        <v>4.468</v>
      </c>
      <c r="H195" s="9">
        <v>84</v>
      </c>
      <c r="I195" s="10" t="s">
        <v>124</v>
      </c>
      <c r="J195" s="10" t="s">
        <v>1050</v>
      </c>
      <c r="K195" s="10" t="s">
        <v>1057</v>
      </c>
    </row>
    <row r="196" spans="1:11" x14ac:dyDescent="0.3">
      <c r="A196" s="4" t="s">
        <v>584</v>
      </c>
      <c r="B196" s="4" t="s">
        <v>585</v>
      </c>
      <c r="C196" s="4" t="s">
        <v>325</v>
      </c>
      <c r="D196" s="4" t="s">
        <v>583</v>
      </c>
      <c r="E196" s="18">
        <v>2810000</v>
      </c>
      <c r="F196" s="5">
        <v>44042</v>
      </c>
      <c r="G196" s="6">
        <v>3.77</v>
      </c>
      <c r="H196" s="9">
        <v>82</v>
      </c>
      <c r="I196" s="10" t="s">
        <v>1055</v>
      </c>
      <c r="J196" s="10" t="s">
        <v>1050</v>
      </c>
      <c r="K196" s="10" t="s">
        <v>1054</v>
      </c>
    </row>
    <row r="197" spans="1:11" x14ac:dyDescent="0.3">
      <c r="A197" s="7" t="s">
        <v>206</v>
      </c>
      <c r="B197" s="7" t="s">
        <v>1116</v>
      </c>
      <c r="C197" s="7" t="s">
        <v>1504</v>
      </c>
      <c r="D197" s="7" t="s">
        <v>207</v>
      </c>
      <c r="E197" s="16">
        <v>675000</v>
      </c>
      <c r="F197" s="34">
        <v>36831</v>
      </c>
      <c r="G197" s="3">
        <v>4.5199999999999996</v>
      </c>
      <c r="H197" s="9">
        <v>81</v>
      </c>
      <c r="I197" s="10" t="s">
        <v>1055</v>
      </c>
      <c r="J197" s="10" t="s">
        <v>1050</v>
      </c>
      <c r="K197" s="10" t="s">
        <v>1054</v>
      </c>
    </row>
    <row r="198" spans="1:11" x14ac:dyDescent="0.3">
      <c r="A198" s="27" t="s">
        <v>1432</v>
      </c>
      <c r="B198" s="27" t="s">
        <v>1524</v>
      </c>
      <c r="C198" s="27" t="s">
        <v>1433</v>
      </c>
      <c r="D198" s="27" t="s">
        <v>1389</v>
      </c>
      <c r="E198" s="32">
        <v>1509000</v>
      </c>
      <c r="F198" s="28">
        <v>41502</v>
      </c>
      <c r="G198" s="29">
        <v>3.11</v>
      </c>
      <c r="H198" s="30" cm="1">
        <f t="array" ref="H198">_xlfn.IFS(I198="Founder / Owner",IF(ISNUMBER(SEARCH("owner",B198)),80,96),I198="C-Suite",IF(OR(ISNUMBER(SEARCH("ceo",B198)),ISNUMBER(SEARCH("chief executive",B198))),95,91),I198="Managing Director",86,I198="Partner",IF(OR(ISNUMBER(SEARCH("managing partner",B198)),ISNUMBER(SEARCH("general partner",B198))),88,85),I198="VP / Head",_xlfn.IFS(OR(ISNUMBER(SEARCH("vice president",B198)),ISNUMBER(SEARCH("executive vice",B198))),91,ISNUMBER(SEARCH("svp",B198)),77,TRUE,73),I198="Director",IF(ISNUMBER(SEARCH("principal",B198)),72,71),I198="Individual Contributor",32,OR(ISNUMBER(SEARCH("surgeon",B198)),ISNUMBER(SEARCH("physician",B198)),ISNUMBER(SEARCH("doctor",B198)),ISNUMBER(SEARCH("dentist",B198)),ISNUMBER(SEARCH("psychiat",B198)),ISNUMBER(SEARCH("oncolog",B198)),ISNUMBER(SEARCH("neurolog",B198)),ISNUMBER(SEARCH("patholog",B198)),ISNUMBER(SEARCH("medicine",B198)),ISNUMBER(SEARCH("obgyn",B198))),77,OR(ISNUMBER(SEARCH("portfolio manager",B198)),ISNUMBER(SEARCH("wealth advisor",B198))),81,OR(ISNUMBER(SEARCH("lawyer",B198)),ISNUMBER(SEARCH("attorney",B198))),68,ISNUMBER(SEARCH("counsel",B198)),66,ISNUMBER(SEARCH("professor",B198)),63,OR(ISNUMBER(SEARCH("engineer",B198)),ISNUMBER(SEARCH("consultant",B198))),62,ISNUMBER(SEARCH("senior manager",B198)),64,OR(ISNUMBER(SEARCH("realtor",B198)),ISNUMBER(SEARCH("broker",B198)),ISNUMBER(SEARCH("journalist",B198)),ISNUMBER(SEARCH("columnist",B198)),ISNUMBER(SEARCH("trader",B198)),ISNUMBER(SEARCH("actor",B198))),50,TRUE,60)</f>
        <v>81</v>
      </c>
      <c r="I198" s="31" t="str" cm="1">
        <f t="array" ref="I198">_xlfn.LET(_xlpm.p," "&amp;LOWER(SUBSTITUTE(SUBSTITUTE(SUBSTITUTE(B198,",","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198" s="31" t="str" cm="1">
        <f t="array" ref="J198">_xlfn.IFS(H198&gt;=90,"Very High",H198&gt;=80,"High",H198&gt;=56,"Medium",TRUE,"Low")</f>
        <v>High</v>
      </c>
      <c r="K198" s="31" t="str" cm="1">
        <f t="array" ref="K198">_xlfn.IFS(OR(ISNUMBER(SEARCH("hospital",C198)),ISNUMBER(SEARCH("health",C198)),ISNUMBER(SEARCH("medical",C198)),ISNUMBER(SEARCH("clinic",C198)),ISNUMBER(SEARCH("nursing",C198)),ISNUMBER(SEARCH("care cent",C198)),ISNUMBER(SEARCH("physician",B198)),ISNUMBER(SEARCH("doctor",B198)),ISNUMBER(SEARCH("dentist",B198)),ISNUMBER(SEARCH("surgeon",B198)),ISNUMBER(SEARCH("psychiat",B198)),ISNUMBER(SEARCH("medicine",B198))),"Healthcare",OR(ISNUMBER(SEARCH("llp",C198)),ISNUMBER(SEARCH("lawyer",B198)),ISNUMBER(SEARCH("attorney",B198)),ISNUMBER(SEARCH("legal",C198)),ISNUMBER(SEARCH("tetrault",C198)),ISNUMBER(SEARCH("morley",C198)),ISNUMBER(SEARCH("blg",C198)),ISNUMBER(SEARCH("lowy",C198)),ISNUMBER(SEARCH("riley",C198)),ISNUMBER(SEARCH("toomath",C198))),"Law",OR(ISNUMBER(SEARCH("reit",C198)),ISNUMBER(SEARCH("properties",C198)),ISNUMBER(SEARCH("realty",C198)),ISNUMBER(SEARCH("realtor",B198)),ISNUMBER(SEARCH("colliers",C198)),ISNUMBER(SEARCH("re/max",C198)),ISNUMBER(SEARCH("quadreal",C198)),ISNUMBER(SEARCH("vic management",C198))),"Real Estate",OR(ISNUMBER(SEARCH("deloitte",C198)),ISNUMBER(SEARCH("kpmg",C198)),ISNUMBER(SEARCH("pwc",C198)),ISNUMBER(SEARCH("consulting",C198)),ISNUMBER(SEARCH("consultant",B198)),ISNUMBER(SEARCH("advisory",C198)),ISNUMBER(SEARCH("philanthropic",C198)),ISNUMBER(SEARCH("argyle",C198)),ISNUMBER(SEARCH("quinn",C198))),"Consulting",OR(ISNUMBER(SEARCH("media",C198)),ISNUMBER(SEARCH("news",C198)),ISNUMBER(SEARCH("radio",C198)),ISNUMBER(SEARCH("film",C198)),ISNUMBER(SEARCH("journalist",B198)),ISNUMBER(SEARCH("columnist",B198)),ISNUMBER(SEARCH("globe",C198)),ISNUMBER(SEARCH("marketing",C198)),ISNUMBER(SEARCH("actor",B198))),"Media",OR(ISNUMBER(SEARCH("rbc",C198)),ISNUMBER(SEARCH("cibc",C198)),ISNUMBER(SEARCH("bmo",C198)),ISNUMBER(SEARCH("scotia",C198)),ISNUMBER(SEARCH("bank",C198)),ISNUMBER(SEARCH("capital",C198)),ISNUMBER(SEARCH("wealth",C198)),ISNUMBER(SEARCH("financial",C198)),ISNUMBER(SEARCH("securities",C198)),ISNUMBER(SEARCH("fidelity",C198)),ISNUMBER(SEARCH("guardian",C198)),ISNUMBER(SEARCH("wealthsimple",C198)),ISNUMBER(SEARCH("credit suisse",C198)),ISNUMBER(SEARCH("tmx",C198)),ISNUMBER(SEARCH("investors",C198)),ISNUMBER(SEARCH("trader",B198))),"Finance",OR(ISNUMBER(SEARCH("ventures",C198)),ISNUMBER(SEARCH("private equity",B198)),ISNUMBER(SEARCH("capital partners",C198))),"Private Equity / VC",OR(ISNUMBER(SEARCH("government",C198)),ISNUMBER(SEARCH("ministry",C198)),ISNUMBER(SEARCH("tribunal",C198)),ISNUMBER(SEARCH("tdsb",C198)),ISNUMBER(SEARCH("public service",C198))),"Government",OR(ISNUMBER(SEARCH("association",C198)),ISNUMBER(SEARCH("institute",C198)),ISNUMBER(SEARCH("foundation",C198))),"Nonprofit",OR(ISNUMBER(SEARCH("software",C198)),ISNUMBER(SEARCH("tech",C198)),ISNUMBER(SEARCH("systems",C198)),ISNUMBER(SEARCH("digital",C198)),ISNUMBER(SEARCH("engineering",C198)),ISNUMBER(SEARCH("solutions",C198))),"Technology",TRUE,"Other")</f>
        <v>Finance</v>
      </c>
    </row>
    <row r="199" spans="1:11" x14ac:dyDescent="0.3">
      <c r="A199" s="4" t="s">
        <v>860</v>
      </c>
      <c r="B199" s="4" t="s">
        <v>422</v>
      </c>
      <c r="C199" s="4" t="s">
        <v>861</v>
      </c>
      <c r="D199" s="4" t="s">
        <v>862</v>
      </c>
      <c r="E199" s="18">
        <v>1552000</v>
      </c>
      <c r="F199" s="5">
        <v>40878</v>
      </c>
      <c r="G199" s="3">
        <v>4.1500000000000004</v>
      </c>
      <c r="H199" s="9">
        <v>81</v>
      </c>
      <c r="I199" s="10" t="s">
        <v>1055</v>
      </c>
      <c r="J199" s="10" t="s">
        <v>1050</v>
      </c>
      <c r="K199" s="10" t="s">
        <v>1054</v>
      </c>
    </row>
    <row r="200" spans="1:11" x14ac:dyDescent="0.3">
      <c r="A200" s="27" t="s">
        <v>1387</v>
      </c>
      <c r="B200" s="27" t="s">
        <v>1116</v>
      </c>
      <c r="C200" s="27" t="s">
        <v>1542</v>
      </c>
      <c r="D200" s="27" t="s">
        <v>1388</v>
      </c>
      <c r="E200" s="32">
        <v>1695000</v>
      </c>
      <c r="F200" s="28">
        <v>43382</v>
      </c>
      <c r="G200" s="29">
        <v>3.22</v>
      </c>
      <c r="H200" s="30" cm="1">
        <f t="array" ref="H200">_xlfn.IFS(I200="Founder / Owner",IF(ISNUMBER(SEARCH("owner",B200)),80,96),I200="C-Suite",IF(OR(ISNUMBER(SEARCH("ceo",B200)),ISNUMBER(SEARCH("chief executive",B200))),95,91),I200="Managing Director",86,I200="Partner",IF(OR(ISNUMBER(SEARCH("managing partner",B200)),ISNUMBER(SEARCH("general partner",B200))),88,85),I200="VP / Head",_xlfn.IFS(OR(ISNUMBER(SEARCH("vice president",B200)),ISNUMBER(SEARCH("executive vice",B200))),91,ISNUMBER(SEARCH("svp",B200)),77,TRUE,73),I200="Director",IF(ISNUMBER(SEARCH("principal",B200)),72,71),I200="Individual Contributor",32,OR(ISNUMBER(SEARCH("surgeon",B200)),ISNUMBER(SEARCH("physician",B200)),ISNUMBER(SEARCH("doctor",B200)),ISNUMBER(SEARCH("dentist",B200)),ISNUMBER(SEARCH("psychiat",B200)),ISNUMBER(SEARCH("oncolog",B200)),ISNUMBER(SEARCH("neurolog",B200)),ISNUMBER(SEARCH("patholog",B200)),ISNUMBER(SEARCH("medicine",B200)),ISNUMBER(SEARCH("obgyn",B200))),77,OR(ISNUMBER(SEARCH("portfolio manager",B200)),ISNUMBER(SEARCH("wealth advisor",B200))),81,OR(ISNUMBER(SEARCH("lawyer",B200)),ISNUMBER(SEARCH("attorney",B200))),68,ISNUMBER(SEARCH("counsel",B200)),66,ISNUMBER(SEARCH("professor",B200)),63,OR(ISNUMBER(SEARCH("engineer",B200)),ISNUMBER(SEARCH("consultant",B200))),62,ISNUMBER(SEARCH("senior manager",B200)),64,OR(ISNUMBER(SEARCH("realtor",B200)),ISNUMBER(SEARCH("broker",B200)),ISNUMBER(SEARCH("journalist",B200)),ISNUMBER(SEARCH("columnist",B200)),ISNUMBER(SEARCH("trader",B200)),ISNUMBER(SEARCH("actor",B200))),50,TRUE,60)</f>
        <v>81</v>
      </c>
      <c r="I200" s="31" t="str" cm="1">
        <f t="array" ref="I200">_xlfn.LET(_xlpm.p," "&amp;LOWER(SUBSTITUTE(SUBSTITUTE(SUBSTITUTE(B200,",","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0" s="31" t="str" cm="1">
        <f t="array" ref="J200">_xlfn.IFS(H200&gt;=90,"Very High",H200&gt;=80,"High",H200&gt;=56,"Medium",TRUE,"Low")</f>
        <v>High</v>
      </c>
      <c r="K200" s="31" t="str" cm="1">
        <f t="array" ref="K200">_xlfn.IFS(OR(ISNUMBER(SEARCH("hospital",C200)),ISNUMBER(SEARCH("health",C200)),ISNUMBER(SEARCH("medical",C200)),ISNUMBER(SEARCH("clinic",C200)),ISNUMBER(SEARCH("nursing",C200)),ISNUMBER(SEARCH("care cent",C200)),ISNUMBER(SEARCH("physician",B200)),ISNUMBER(SEARCH("doctor",B200)),ISNUMBER(SEARCH("dentist",B200)),ISNUMBER(SEARCH("surgeon",B200)),ISNUMBER(SEARCH("psychiat",B200)),ISNUMBER(SEARCH("medicine",B200))),"Healthcare",OR(ISNUMBER(SEARCH("llp",C200)),ISNUMBER(SEARCH("lawyer",B200)),ISNUMBER(SEARCH("attorney",B200)),ISNUMBER(SEARCH("legal",C200)),ISNUMBER(SEARCH("tetrault",C200)),ISNUMBER(SEARCH("morley",C200)),ISNUMBER(SEARCH("blg",C200)),ISNUMBER(SEARCH("lowy",C200)),ISNUMBER(SEARCH("riley",C200)),ISNUMBER(SEARCH("toomath",C200))),"Law",OR(ISNUMBER(SEARCH("reit",C200)),ISNUMBER(SEARCH("properties",C200)),ISNUMBER(SEARCH("realty",C200)),ISNUMBER(SEARCH("realtor",B200)),ISNUMBER(SEARCH("colliers",C200)),ISNUMBER(SEARCH("re/max",C200)),ISNUMBER(SEARCH("quadreal",C200)),ISNUMBER(SEARCH("vic management",C200))),"Real Estate",OR(ISNUMBER(SEARCH("deloitte",C200)),ISNUMBER(SEARCH("kpmg",C200)),ISNUMBER(SEARCH("pwc",C200)),ISNUMBER(SEARCH("consulting",C200)),ISNUMBER(SEARCH("consultant",B200)),ISNUMBER(SEARCH("advisory",C200)),ISNUMBER(SEARCH("philanthropic",C200)),ISNUMBER(SEARCH("argyle",C200)),ISNUMBER(SEARCH("quinn",C200))),"Consulting",OR(ISNUMBER(SEARCH("media",C200)),ISNUMBER(SEARCH("news",C200)),ISNUMBER(SEARCH("radio",C200)),ISNUMBER(SEARCH("film",C200)),ISNUMBER(SEARCH("journalist",B200)),ISNUMBER(SEARCH("columnist",B200)),ISNUMBER(SEARCH("globe",C200)),ISNUMBER(SEARCH("marketing",C200)),ISNUMBER(SEARCH("actor",B200))),"Media",OR(ISNUMBER(SEARCH("rbc",C200)),ISNUMBER(SEARCH("cibc",C200)),ISNUMBER(SEARCH("bmo",C200)),ISNUMBER(SEARCH("scotia",C200)),ISNUMBER(SEARCH("bank",C200)),ISNUMBER(SEARCH("capital",C200)),ISNUMBER(SEARCH("wealth",C200)),ISNUMBER(SEARCH("financial",C200)),ISNUMBER(SEARCH("securities",C200)),ISNUMBER(SEARCH("fidelity",C200)),ISNUMBER(SEARCH("guardian",C200)),ISNUMBER(SEARCH("wealthsimple",C200)),ISNUMBER(SEARCH("credit suisse",C200)),ISNUMBER(SEARCH("tmx",C200)),ISNUMBER(SEARCH("investors",C200)),ISNUMBER(SEARCH("trader",B200))),"Finance",OR(ISNUMBER(SEARCH("ventures",C200)),ISNUMBER(SEARCH("private equity",B200)),ISNUMBER(SEARCH("capital partners",C200))),"Private Equity / VC",OR(ISNUMBER(SEARCH("government",C200)),ISNUMBER(SEARCH("ministry",C200)),ISNUMBER(SEARCH("tribunal",C200)),ISNUMBER(SEARCH("tdsb",C200)),ISNUMBER(SEARCH("public service",C200))),"Government",OR(ISNUMBER(SEARCH("association",C200)),ISNUMBER(SEARCH("institute",C200)),ISNUMBER(SEARCH("foundation",C200))),"Nonprofit",OR(ISNUMBER(SEARCH("software",C200)),ISNUMBER(SEARCH("tech",C200)),ISNUMBER(SEARCH("systems",C200)),ISNUMBER(SEARCH("digital",C200)),ISNUMBER(SEARCH("engineering",C200)),ISNUMBER(SEARCH("solutions",C200))),"Technology",TRUE,"Other")</f>
        <v>Finance</v>
      </c>
    </row>
    <row r="201" spans="1:11" x14ac:dyDescent="0.3">
      <c r="A201" s="4" t="s">
        <v>241</v>
      </c>
      <c r="B201" s="4" t="s">
        <v>1116</v>
      </c>
      <c r="C201" s="4" t="s">
        <v>242</v>
      </c>
      <c r="D201" s="4" t="s">
        <v>243</v>
      </c>
      <c r="E201" s="18">
        <v>2170000</v>
      </c>
      <c r="F201" s="5">
        <v>44708</v>
      </c>
      <c r="G201" s="6">
        <v>4.6660000000000004</v>
      </c>
      <c r="H201" s="9">
        <v>81</v>
      </c>
      <c r="I201" s="10" t="s">
        <v>1055</v>
      </c>
      <c r="J201" s="10" t="s">
        <v>1050</v>
      </c>
      <c r="K201" s="10" t="s">
        <v>1054</v>
      </c>
    </row>
    <row r="202" spans="1:11" x14ac:dyDescent="0.3">
      <c r="A202" s="4" t="s">
        <v>1144</v>
      </c>
      <c r="B202" s="4" t="s">
        <v>1116</v>
      </c>
      <c r="C202" s="4" t="s">
        <v>1145</v>
      </c>
      <c r="D202" s="4" t="s">
        <v>1146</v>
      </c>
      <c r="E202" s="18">
        <v>2308000</v>
      </c>
      <c r="F202" s="5">
        <v>42152</v>
      </c>
      <c r="G202" s="6">
        <v>3.21</v>
      </c>
      <c r="H202" s="9">
        <v>81</v>
      </c>
      <c r="I202" s="10" t="s">
        <v>1055</v>
      </c>
      <c r="J202" s="10" t="s">
        <v>1050</v>
      </c>
      <c r="K202" s="10" t="s">
        <v>1054</v>
      </c>
    </row>
    <row r="203" spans="1:11" x14ac:dyDescent="0.3">
      <c r="A203" s="4" t="s">
        <v>1115</v>
      </c>
      <c r="B203" s="4" t="s">
        <v>1116</v>
      </c>
      <c r="C203" s="4" t="s">
        <v>1117</v>
      </c>
      <c r="D203" s="4" t="s">
        <v>1114</v>
      </c>
      <c r="E203" s="18">
        <v>3300000</v>
      </c>
      <c r="F203" s="5">
        <v>44911</v>
      </c>
      <c r="G203" s="6">
        <v>3.25</v>
      </c>
      <c r="H203" s="9">
        <v>81</v>
      </c>
      <c r="I203" s="10" t="s">
        <v>1055</v>
      </c>
      <c r="J203" s="10" t="s">
        <v>1050</v>
      </c>
      <c r="K203" s="10" t="s">
        <v>1054</v>
      </c>
    </row>
    <row r="204" spans="1:11" x14ac:dyDescent="0.3">
      <c r="A204" s="27" t="s">
        <v>1325</v>
      </c>
      <c r="B204" s="27" t="s">
        <v>1116</v>
      </c>
      <c r="C204" s="27" t="s">
        <v>325</v>
      </c>
      <c r="D204" s="27" t="s">
        <v>1326</v>
      </c>
      <c r="E204" s="32">
        <v>3480000</v>
      </c>
      <c r="F204" s="28">
        <v>44734</v>
      </c>
      <c r="G204" s="29">
        <v>3.22</v>
      </c>
      <c r="H204" s="30" cm="1">
        <f t="array" ref="H204">_xlfn.IFS(I204="Founder / Owner",IF(ISNUMBER(SEARCH("owner",B204)),80,96),I204="C-Suite",IF(OR(ISNUMBER(SEARCH("ceo",B204)),ISNUMBER(SEARCH("chief executive",B204))),95,91),I204="Managing Director",86,I204="Partner",IF(OR(ISNUMBER(SEARCH("managing partner",B204)),ISNUMBER(SEARCH("general partner",B204))),88,85),I204="VP / Head",_xlfn.IFS(OR(ISNUMBER(SEARCH("vice president",B204)),ISNUMBER(SEARCH("executive vice",B204))),91,ISNUMBER(SEARCH("svp",B204)),77,TRUE,73),I204="Director",IF(ISNUMBER(SEARCH("principal",B204)),72,71),I204="Individual Contributor",32,OR(ISNUMBER(SEARCH("surgeon",B204)),ISNUMBER(SEARCH("physician",B204)),ISNUMBER(SEARCH("doctor",B204)),ISNUMBER(SEARCH("dentist",B204)),ISNUMBER(SEARCH("psychiat",B204)),ISNUMBER(SEARCH("oncolog",B204)),ISNUMBER(SEARCH("neurolog",B204)),ISNUMBER(SEARCH("patholog",B204)),ISNUMBER(SEARCH("medicine",B204)),ISNUMBER(SEARCH("obgyn",B204))),77,OR(ISNUMBER(SEARCH("portfolio manager",B204)),ISNUMBER(SEARCH("wealth advisor",B204))),81,OR(ISNUMBER(SEARCH("lawyer",B204)),ISNUMBER(SEARCH("attorney",B204))),68,ISNUMBER(SEARCH("counsel",B204)),66,ISNUMBER(SEARCH("professor",B204)),63,OR(ISNUMBER(SEARCH("engineer",B204)),ISNUMBER(SEARCH("consultant",B204))),62,ISNUMBER(SEARCH("senior manager",B204)),64,OR(ISNUMBER(SEARCH("realtor",B204)),ISNUMBER(SEARCH("broker",B204)),ISNUMBER(SEARCH("journalist",B204)),ISNUMBER(SEARCH("columnist",B204)),ISNUMBER(SEARCH("trader",B204)),ISNUMBER(SEARCH("actor",B204))),50,TRUE,60)</f>
        <v>81</v>
      </c>
      <c r="I204" s="31" t="str" cm="1">
        <f t="array" ref="I204">_xlfn.LET(_xlpm.p," "&amp;LOWER(SUBSTITUTE(SUBSTITUTE(SUBSTITUTE(B204,",","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4" s="31" t="str" cm="1">
        <f t="array" ref="J204">_xlfn.IFS(H204&gt;=90,"Very High",H204&gt;=80,"High",H204&gt;=56,"Medium",TRUE,"Low")</f>
        <v>High</v>
      </c>
      <c r="K204" s="31" t="str" cm="1">
        <f t="array" ref="K204">_xlfn.IFS(OR(ISNUMBER(SEARCH("hospital",C204)),ISNUMBER(SEARCH("health",C204)),ISNUMBER(SEARCH("medical",C204)),ISNUMBER(SEARCH("clinic",C204)),ISNUMBER(SEARCH("nursing",C204)),ISNUMBER(SEARCH("care cent",C204)),ISNUMBER(SEARCH("physician",B204)),ISNUMBER(SEARCH("doctor",B204)),ISNUMBER(SEARCH("dentist",B204)),ISNUMBER(SEARCH("surgeon",B204)),ISNUMBER(SEARCH("psychiat",B204)),ISNUMBER(SEARCH("medicine",B204))),"Healthcare",OR(ISNUMBER(SEARCH("llp",C204)),ISNUMBER(SEARCH("lawyer",B204)),ISNUMBER(SEARCH("attorney",B204)),ISNUMBER(SEARCH("legal",C204)),ISNUMBER(SEARCH("tetrault",C204)),ISNUMBER(SEARCH("morley",C204)),ISNUMBER(SEARCH("blg",C204)),ISNUMBER(SEARCH("lowy",C204)),ISNUMBER(SEARCH("riley",C204)),ISNUMBER(SEARCH("toomath",C204))),"Law",OR(ISNUMBER(SEARCH("reit",C204)),ISNUMBER(SEARCH("properties",C204)),ISNUMBER(SEARCH("realty",C204)),ISNUMBER(SEARCH("realtor",B204)),ISNUMBER(SEARCH("colliers",C204)),ISNUMBER(SEARCH("re/max",C204)),ISNUMBER(SEARCH("quadreal",C204)),ISNUMBER(SEARCH("vic management",C204))),"Real Estate",OR(ISNUMBER(SEARCH("deloitte",C204)),ISNUMBER(SEARCH("kpmg",C204)),ISNUMBER(SEARCH("pwc",C204)),ISNUMBER(SEARCH("consulting",C204)),ISNUMBER(SEARCH("consultant",B204)),ISNUMBER(SEARCH("advisory",C204)),ISNUMBER(SEARCH("philanthropic",C204)),ISNUMBER(SEARCH("argyle",C204)),ISNUMBER(SEARCH("quinn",C204))),"Consulting",OR(ISNUMBER(SEARCH("media",C204)),ISNUMBER(SEARCH("news",C204)),ISNUMBER(SEARCH("radio",C204)),ISNUMBER(SEARCH("film",C204)),ISNUMBER(SEARCH("journalist",B204)),ISNUMBER(SEARCH("columnist",B204)),ISNUMBER(SEARCH("globe",C204)),ISNUMBER(SEARCH("marketing",C204)),ISNUMBER(SEARCH("actor",B204))),"Media",OR(ISNUMBER(SEARCH("rbc",C204)),ISNUMBER(SEARCH("cibc",C204)),ISNUMBER(SEARCH("bmo",C204)),ISNUMBER(SEARCH("scotia",C204)),ISNUMBER(SEARCH("bank",C204)),ISNUMBER(SEARCH("capital",C204)),ISNUMBER(SEARCH("wealth",C204)),ISNUMBER(SEARCH("financial",C204)),ISNUMBER(SEARCH("securities",C204)),ISNUMBER(SEARCH("fidelity",C204)),ISNUMBER(SEARCH("guardian",C204)),ISNUMBER(SEARCH("wealthsimple",C204)),ISNUMBER(SEARCH("credit suisse",C204)),ISNUMBER(SEARCH("tmx",C204)),ISNUMBER(SEARCH("investors",C204)),ISNUMBER(SEARCH("trader",B204))),"Finance",OR(ISNUMBER(SEARCH("ventures",C204)),ISNUMBER(SEARCH("private equity",B204)),ISNUMBER(SEARCH("capital partners",C204))),"Private Equity / VC",OR(ISNUMBER(SEARCH("government",C204)),ISNUMBER(SEARCH("ministry",C204)),ISNUMBER(SEARCH("tribunal",C204)),ISNUMBER(SEARCH("tdsb",C204)),ISNUMBER(SEARCH("public service",C204))),"Government",OR(ISNUMBER(SEARCH("association",C204)),ISNUMBER(SEARCH("institute",C204)),ISNUMBER(SEARCH("foundation",C204))),"Nonprofit",OR(ISNUMBER(SEARCH("software",C204)),ISNUMBER(SEARCH("tech",C204)),ISNUMBER(SEARCH("systems",C204)),ISNUMBER(SEARCH("digital",C204)),ISNUMBER(SEARCH("engineering",C204)),ISNUMBER(SEARCH("solutions",C204))),"Technology",TRUE,"Other")</f>
        <v>Finance</v>
      </c>
    </row>
    <row r="205" spans="1:11" x14ac:dyDescent="0.3">
      <c r="A205" s="4" t="s">
        <v>421</v>
      </c>
      <c r="B205" s="4" t="s">
        <v>422</v>
      </c>
      <c r="C205" s="4" t="s">
        <v>423</v>
      </c>
      <c r="D205" s="4" t="s">
        <v>424</v>
      </c>
      <c r="E205" s="16">
        <v>4225000</v>
      </c>
      <c r="F205" s="5">
        <v>42576</v>
      </c>
      <c r="G205" s="6">
        <v>4.12</v>
      </c>
      <c r="H205" s="9">
        <v>81</v>
      </c>
      <c r="I205" s="10" t="s">
        <v>1055</v>
      </c>
      <c r="J205" s="10" t="s">
        <v>1050</v>
      </c>
      <c r="K205" s="10" t="s">
        <v>1054</v>
      </c>
    </row>
    <row r="206" spans="1:11" x14ac:dyDescent="0.3">
      <c r="A206" s="4" t="s">
        <v>324</v>
      </c>
      <c r="B206" s="4" t="s">
        <v>1490</v>
      </c>
      <c r="C206" s="4" t="s">
        <v>325</v>
      </c>
      <c r="D206" s="4" t="s">
        <v>326</v>
      </c>
      <c r="E206" s="16">
        <v>6450000</v>
      </c>
      <c r="F206" s="5">
        <v>45236</v>
      </c>
      <c r="G206" s="6">
        <v>4.04</v>
      </c>
      <c r="H206" s="9">
        <v>81</v>
      </c>
      <c r="I206" s="10" t="s">
        <v>1055</v>
      </c>
      <c r="J206" s="10" t="s">
        <v>1050</v>
      </c>
      <c r="K206" s="10" t="s">
        <v>1054</v>
      </c>
    </row>
    <row r="207" spans="1:11" x14ac:dyDescent="0.3">
      <c r="A207" s="7" t="s">
        <v>976</v>
      </c>
      <c r="B207" s="7" t="s">
        <v>1490</v>
      </c>
      <c r="C207" s="7" t="s">
        <v>977</v>
      </c>
      <c r="D207" s="7" t="s">
        <v>978</v>
      </c>
      <c r="E207" s="20" t="s">
        <v>1280</v>
      </c>
      <c r="F207" s="34">
        <v>42164</v>
      </c>
      <c r="G207" s="3">
        <v>3.95</v>
      </c>
      <c r="H207" s="9">
        <v>81</v>
      </c>
      <c r="I207" s="10" t="s">
        <v>1055</v>
      </c>
      <c r="J207" s="10" t="s">
        <v>1050</v>
      </c>
      <c r="K207" s="10" t="s">
        <v>1054</v>
      </c>
    </row>
    <row r="208" spans="1:11" x14ac:dyDescent="0.3">
      <c r="A208" s="7" t="s">
        <v>157</v>
      </c>
      <c r="B208" s="7" t="s">
        <v>158</v>
      </c>
      <c r="C208" s="7" t="s">
        <v>159</v>
      </c>
      <c r="D208" s="7" t="s">
        <v>160</v>
      </c>
      <c r="E208" s="16">
        <v>1121000</v>
      </c>
      <c r="F208" s="34">
        <v>39224</v>
      </c>
      <c r="G208" s="3">
        <v>4.6230000000000002</v>
      </c>
      <c r="H208" s="9">
        <v>80</v>
      </c>
      <c r="I208" s="10" t="s">
        <v>1049</v>
      </c>
      <c r="J208" s="10" t="s">
        <v>1050</v>
      </c>
      <c r="K208" s="10" t="s">
        <v>1051</v>
      </c>
    </row>
    <row r="209" spans="1:11" x14ac:dyDescent="0.3">
      <c r="A209" s="4" t="s">
        <v>805</v>
      </c>
      <c r="B209" s="4" t="s">
        <v>158</v>
      </c>
      <c r="C209" s="4" t="s">
        <v>806</v>
      </c>
      <c r="D209" s="4" t="s">
        <v>804</v>
      </c>
      <c r="E209" s="18">
        <v>1750000</v>
      </c>
      <c r="F209" s="5">
        <v>39639</v>
      </c>
      <c r="G209" s="3">
        <v>3.78</v>
      </c>
      <c r="H209" s="9">
        <v>80</v>
      </c>
      <c r="I209" s="10" t="s">
        <v>1049</v>
      </c>
      <c r="J209" s="10" t="s">
        <v>1050</v>
      </c>
      <c r="K209" s="10" t="s">
        <v>1062</v>
      </c>
    </row>
    <row r="210" spans="1:11" x14ac:dyDescent="0.3">
      <c r="A210" s="4" t="s">
        <v>793</v>
      </c>
      <c r="B210" s="4" t="s">
        <v>158</v>
      </c>
      <c r="C210" s="4" t="s">
        <v>794</v>
      </c>
      <c r="D210" s="4" t="s">
        <v>792</v>
      </c>
      <c r="E210" s="18">
        <v>1775000</v>
      </c>
      <c r="F210" s="5">
        <v>40400</v>
      </c>
      <c r="G210" s="6">
        <v>4.05</v>
      </c>
      <c r="H210" s="9">
        <v>80</v>
      </c>
      <c r="I210" s="10" t="s">
        <v>1049</v>
      </c>
      <c r="J210" s="10" t="s">
        <v>1050</v>
      </c>
      <c r="K210" s="10" t="s">
        <v>1066</v>
      </c>
    </row>
    <row r="211" spans="1:11" x14ac:dyDescent="0.3">
      <c r="A211" s="4" t="s">
        <v>262</v>
      </c>
      <c r="B211" s="4" t="s">
        <v>158</v>
      </c>
      <c r="C211" s="4" t="s">
        <v>296</v>
      </c>
      <c r="D211" s="4" t="s">
        <v>263</v>
      </c>
      <c r="E211" s="18">
        <v>1850000</v>
      </c>
      <c r="F211" s="5">
        <v>46001</v>
      </c>
      <c r="G211" s="6">
        <v>4.5140000000000002</v>
      </c>
      <c r="H211" s="9">
        <v>80</v>
      </c>
      <c r="I211" s="10" t="s">
        <v>1049</v>
      </c>
      <c r="J211" s="10" t="s">
        <v>1050</v>
      </c>
      <c r="K211" s="10" t="s">
        <v>1051</v>
      </c>
    </row>
    <row r="212" spans="1:11" x14ac:dyDescent="0.3">
      <c r="A212" s="4" t="s">
        <v>565</v>
      </c>
      <c r="B212" s="4" t="s">
        <v>158</v>
      </c>
      <c r="C212" s="4" t="s">
        <v>566</v>
      </c>
      <c r="D212" s="4" t="s">
        <v>564</v>
      </c>
      <c r="E212" s="18">
        <v>2981000</v>
      </c>
      <c r="F212" s="5">
        <v>45446</v>
      </c>
      <c r="G212" s="6">
        <v>4.17</v>
      </c>
      <c r="H212" s="9">
        <v>80</v>
      </c>
      <c r="I212" s="10" t="s">
        <v>1049</v>
      </c>
      <c r="J212" s="10" t="s">
        <v>1050</v>
      </c>
      <c r="K212" s="10" t="s">
        <v>1051</v>
      </c>
    </row>
    <row r="213" spans="1:11" x14ac:dyDescent="0.3">
      <c r="A213" s="4" t="s">
        <v>1112</v>
      </c>
      <c r="B213" s="4" t="s">
        <v>1113</v>
      </c>
      <c r="C213" s="4" t="s">
        <v>1481</v>
      </c>
      <c r="D213" s="4" t="s">
        <v>1114</v>
      </c>
      <c r="E213" s="18">
        <v>3300000</v>
      </c>
      <c r="F213" s="5">
        <v>44911</v>
      </c>
      <c r="G213" s="6">
        <v>3.25</v>
      </c>
      <c r="H213" s="9">
        <v>80</v>
      </c>
      <c r="I213" s="10" t="s">
        <v>1049</v>
      </c>
      <c r="J213" s="10" t="s">
        <v>1050</v>
      </c>
      <c r="K213" s="10" t="s">
        <v>1064</v>
      </c>
    </row>
    <row r="214" spans="1:11" x14ac:dyDescent="0.3">
      <c r="A214" s="4" t="s">
        <v>319</v>
      </c>
      <c r="B214" s="4" t="s">
        <v>158</v>
      </c>
      <c r="C214" s="4" t="s">
        <v>320</v>
      </c>
      <c r="D214" s="4" t="s">
        <v>321</v>
      </c>
      <c r="E214" s="16">
        <v>6490000</v>
      </c>
      <c r="F214" s="5">
        <v>43677</v>
      </c>
      <c r="G214" s="6">
        <v>3.98</v>
      </c>
      <c r="H214" s="9">
        <v>80</v>
      </c>
      <c r="I214" s="10" t="s">
        <v>1049</v>
      </c>
      <c r="J214" s="10" t="s">
        <v>1050</v>
      </c>
      <c r="K214" s="10" t="s">
        <v>1051</v>
      </c>
    </row>
    <row r="215" spans="1:11" x14ac:dyDescent="0.3">
      <c r="A215" s="4" t="s">
        <v>307</v>
      </c>
      <c r="B215" s="4" t="s">
        <v>1044</v>
      </c>
      <c r="C215" s="4" t="s">
        <v>308</v>
      </c>
      <c r="D215" s="4" t="s">
        <v>306</v>
      </c>
      <c r="E215" s="16">
        <v>7900000</v>
      </c>
      <c r="F215" s="5">
        <v>43966</v>
      </c>
      <c r="G215" s="6">
        <v>3.96</v>
      </c>
      <c r="H215" s="9">
        <v>80</v>
      </c>
      <c r="I215" s="10" t="s">
        <v>1049</v>
      </c>
      <c r="J215" s="10" t="s">
        <v>1050</v>
      </c>
      <c r="K215" s="10" t="s">
        <v>1051</v>
      </c>
    </row>
    <row r="216" spans="1:11" x14ac:dyDescent="0.3">
      <c r="A216" s="4" t="s">
        <v>1237</v>
      </c>
      <c r="B216" s="4" t="s">
        <v>158</v>
      </c>
      <c r="C216" s="4" t="s">
        <v>1238</v>
      </c>
      <c r="D216" s="4" t="s">
        <v>1239</v>
      </c>
      <c r="E216" s="16">
        <v>10888000</v>
      </c>
      <c r="F216" s="5">
        <v>43221</v>
      </c>
      <c r="G216" s="6">
        <v>6.21</v>
      </c>
      <c r="H216" s="9">
        <v>80</v>
      </c>
      <c r="I216" s="10" t="s">
        <v>1049</v>
      </c>
      <c r="J216" s="10" t="s">
        <v>1050</v>
      </c>
      <c r="K216" s="10" t="s">
        <v>1067</v>
      </c>
    </row>
    <row r="217" spans="1:11" x14ac:dyDescent="0.3">
      <c r="A217" s="4" t="s">
        <v>964</v>
      </c>
      <c r="B217" s="4" t="s">
        <v>158</v>
      </c>
      <c r="C217" s="4" t="s">
        <v>965</v>
      </c>
      <c r="D217" s="4" t="s">
        <v>966</v>
      </c>
      <c r="E217" s="20" t="s">
        <v>1280</v>
      </c>
      <c r="F217" s="5">
        <v>32295</v>
      </c>
      <c r="G217" s="6">
        <v>3.7</v>
      </c>
      <c r="H217" s="9">
        <v>80</v>
      </c>
      <c r="I217" s="10" t="s">
        <v>1049</v>
      </c>
      <c r="J217" s="10" t="s">
        <v>1050</v>
      </c>
      <c r="K217" s="10" t="s">
        <v>1051</v>
      </c>
    </row>
    <row r="218" spans="1:11" x14ac:dyDescent="0.3">
      <c r="A218" s="27" t="s">
        <v>1442</v>
      </c>
      <c r="B218" s="27" t="s">
        <v>158</v>
      </c>
      <c r="C218" s="27" t="s">
        <v>1479</v>
      </c>
      <c r="D218" s="27" t="s">
        <v>1443</v>
      </c>
      <c r="E218" s="32" t="s">
        <v>1280</v>
      </c>
      <c r="F218" s="28">
        <v>45232</v>
      </c>
      <c r="G218" s="29">
        <v>3.19</v>
      </c>
      <c r="H218" s="30" cm="1">
        <f t="array" ref="H218">_xlfn.IFS(I218="Founder / Owner",IF(ISNUMBER(SEARCH("owner",B218)),80,96),I218="C-Suite",IF(OR(ISNUMBER(SEARCH("ceo",B218)),ISNUMBER(SEARCH("chief executive",B218))),95,91),I218="Managing Director",86,I218="Partner",IF(OR(ISNUMBER(SEARCH("managing partner",B218)),ISNUMBER(SEARCH("general partner",B218))),88,85),I218="VP / Head",_xlfn.IFS(OR(ISNUMBER(SEARCH("vice president",B218)),ISNUMBER(SEARCH("executive vice",B218))),91,ISNUMBER(SEARCH("svp",B218)),77,TRUE,73),I218="Director",IF(ISNUMBER(SEARCH("principal",B218)),72,71),I218="Individual Contributor",32,OR(ISNUMBER(SEARCH("surgeon",B218)),ISNUMBER(SEARCH("physician",B218)),ISNUMBER(SEARCH("doctor",B218)),ISNUMBER(SEARCH("dentist",B218)),ISNUMBER(SEARCH("psychiat",B218)),ISNUMBER(SEARCH("oncolog",B218)),ISNUMBER(SEARCH("neurolog",B218)),ISNUMBER(SEARCH("patholog",B218)),ISNUMBER(SEARCH("medicine",B218)),ISNUMBER(SEARCH("obgyn",B218))),77,OR(ISNUMBER(SEARCH("portfolio manager",B218)),ISNUMBER(SEARCH("wealth advisor",B218))),81,OR(ISNUMBER(SEARCH("lawyer",B218)),ISNUMBER(SEARCH("attorney",B218))),68,ISNUMBER(SEARCH("counsel",B218)),66,ISNUMBER(SEARCH("professor",B218)),63,OR(ISNUMBER(SEARCH("engineer",B218)),ISNUMBER(SEARCH("consultant",B218))),62,ISNUMBER(SEARCH("senior manager",B218)),64,OR(ISNUMBER(SEARCH("realtor",B218)),ISNUMBER(SEARCH("broker",B218)),ISNUMBER(SEARCH("journalist",B218)),ISNUMBER(SEARCH("columnist",B218)),ISNUMBER(SEARCH("trader",B218)),ISNUMBER(SEARCH("actor",B218))),50,TRUE,60)</f>
        <v>80</v>
      </c>
      <c r="I218" s="31" t="str" cm="1">
        <f t="array" ref="I218">_xlfn.LET(_xlpm.p," "&amp;LOWER(SUBSTITUTE(SUBSTITUTE(SUBSTITUTE(B218,",","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218" s="31" t="str" cm="1">
        <f t="array" ref="J218">_xlfn.IFS(H218&gt;=90,"Very High",H218&gt;=80,"High",H218&gt;=56,"Medium",TRUE,"Low")</f>
        <v>High</v>
      </c>
      <c r="K218" s="31" t="str" cm="1">
        <f t="array" ref="K218">_xlfn.IFS(OR(ISNUMBER(SEARCH("hospital",C218)),ISNUMBER(SEARCH("health",C218)),ISNUMBER(SEARCH("medical",C218)),ISNUMBER(SEARCH("clinic",C218)),ISNUMBER(SEARCH("nursing",C218)),ISNUMBER(SEARCH("care cent",C218)),ISNUMBER(SEARCH("physician",B218)),ISNUMBER(SEARCH("doctor",B218)),ISNUMBER(SEARCH("dentist",B218)),ISNUMBER(SEARCH("surgeon",B218)),ISNUMBER(SEARCH("psychiat",B218)),ISNUMBER(SEARCH("medicine",B218))),"Healthcare",OR(ISNUMBER(SEARCH("llp",C218)),ISNUMBER(SEARCH("lawyer",B218)),ISNUMBER(SEARCH("attorney",B218)),ISNUMBER(SEARCH("legal",C218)),ISNUMBER(SEARCH("tetrault",C218)),ISNUMBER(SEARCH("morley",C218)),ISNUMBER(SEARCH("blg",C218)),ISNUMBER(SEARCH("lowy",C218)),ISNUMBER(SEARCH("riley",C218)),ISNUMBER(SEARCH("toomath",C218))),"Law",OR(ISNUMBER(SEARCH("reit",C218)),ISNUMBER(SEARCH("properties",C218)),ISNUMBER(SEARCH("realty",C218)),ISNUMBER(SEARCH("realtor",B218)),ISNUMBER(SEARCH("colliers",C218)),ISNUMBER(SEARCH("re/max",C218)),ISNUMBER(SEARCH("quadreal",C218)),ISNUMBER(SEARCH("vic management",C218))),"Real Estate",OR(ISNUMBER(SEARCH("deloitte",C218)),ISNUMBER(SEARCH("kpmg",C218)),ISNUMBER(SEARCH("pwc",C218)),ISNUMBER(SEARCH("consulting",C218)),ISNUMBER(SEARCH("consultant",B218)),ISNUMBER(SEARCH("advisory",C218)),ISNUMBER(SEARCH("philanthropic",C218)),ISNUMBER(SEARCH("argyle",C218)),ISNUMBER(SEARCH("quinn",C218))),"Consulting",OR(ISNUMBER(SEARCH("media",C218)),ISNUMBER(SEARCH("news",C218)),ISNUMBER(SEARCH("radio",C218)),ISNUMBER(SEARCH("film",C218)),ISNUMBER(SEARCH("journalist",B218)),ISNUMBER(SEARCH("columnist",B218)),ISNUMBER(SEARCH("globe",C218)),ISNUMBER(SEARCH("marketing",C218)),ISNUMBER(SEARCH("actor",B218))),"Media",OR(ISNUMBER(SEARCH("rbc",C218)),ISNUMBER(SEARCH("cibc",C218)),ISNUMBER(SEARCH("bmo",C218)),ISNUMBER(SEARCH("scotia",C218)),ISNUMBER(SEARCH("bank",C218)),ISNUMBER(SEARCH("capital",C218)),ISNUMBER(SEARCH("wealth",C218)),ISNUMBER(SEARCH("financial",C218)),ISNUMBER(SEARCH("securities",C218)),ISNUMBER(SEARCH("fidelity",C218)),ISNUMBER(SEARCH("guardian",C218)),ISNUMBER(SEARCH("wealthsimple",C218)),ISNUMBER(SEARCH("credit suisse",C218)),ISNUMBER(SEARCH("tmx",C218)),ISNUMBER(SEARCH("investors",C218)),ISNUMBER(SEARCH("trader",B218))),"Finance",OR(ISNUMBER(SEARCH("ventures",C218)),ISNUMBER(SEARCH("private equity",B218)),ISNUMBER(SEARCH("capital partners",C218))),"Private Equity / VC",OR(ISNUMBER(SEARCH("government",C218)),ISNUMBER(SEARCH("ministry",C218)),ISNUMBER(SEARCH("tribunal",C218)),ISNUMBER(SEARCH("tdsb",C218)),ISNUMBER(SEARCH("public service",C218))),"Government",OR(ISNUMBER(SEARCH("association",C218)),ISNUMBER(SEARCH("institute",C218)),ISNUMBER(SEARCH("foundation",C218))),"Nonprofit",OR(ISNUMBER(SEARCH("software",C218)),ISNUMBER(SEARCH("tech",C218)),ISNUMBER(SEARCH("systems",C218)),ISNUMBER(SEARCH("digital",C218)),ISNUMBER(SEARCH("engineering",C218)),ISNUMBER(SEARCH("solutions",C218))),"Technology",TRUE,"Other")</f>
        <v>Other</v>
      </c>
    </row>
    <row r="219" spans="1:11" x14ac:dyDescent="0.3">
      <c r="A219" s="4" t="s">
        <v>983</v>
      </c>
      <c r="B219" s="4" t="s">
        <v>158</v>
      </c>
      <c r="C219" s="4" t="s">
        <v>984</v>
      </c>
      <c r="D219" s="4" t="s">
        <v>985</v>
      </c>
      <c r="E219" s="20" t="s">
        <v>1280</v>
      </c>
      <c r="F219" s="5">
        <v>37777</v>
      </c>
      <c r="G219" s="3">
        <v>3.65</v>
      </c>
      <c r="H219" s="9">
        <v>80</v>
      </c>
      <c r="I219" s="10" t="s">
        <v>1049</v>
      </c>
      <c r="J219" s="10" t="s">
        <v>1050</v>
      </c>
      <c r="K219" s="10" t="s">
        <v>1051</v>
      </c>
    </row>
    <row r="220" spans="1:11" x14ac:dyDescent="0.3">
      <c r="A220" s="4" t="s">
        <v>112</v>
      </c>
      <c r="B220" s="4" t="s">
        <v>113</v>
      </c>
      <c r="C220" s="4" t="s">
        <v>114</v>
      </c>
      <c r="D220" s="4" t="s">
        <v>115</v>
      </c>
      <c r="E220" s="20" t="s">
        <v>1280</v>
      </c>
      <c r="F220" s="5">
        <v>33921</v>
      </c>
      <c r="G220" s="6">
        <v>4.6369999999999996</v>
      </c>
      <c r="H220" s="9">
        <v>80</v>
      </c>
      <c r="I220" s="10" t="s">
        <v>1049</v>
      </c>
      <c r="J220" s="10" t="s">
        <v>1050</v>
      </c>
      <c r="K220" s="10" t="s">
        <v>1051</v>
      </c>
    </row>
    <row r="221" spans="1:11" x14ac:dyDescent="0.3">
      <c r="A221" s="4" t="s">
        <v>1188</v>
      </c>
      <c r="B221" s="4" t="s">
        <v>927</v>
      </c>
      <c r="C221" s="4" t="s">
        <v>519</v>
      </c>
      <c r="D221" s="4" t="s">
        <v>1187</v>
      </c>
      <c r="E221" s="18">
        <v>1650000</v>
      </c>
      <c r="F221" s="5">
        <v>39169</v>
      </c>
      <c r="G221" s="3">
        <v>3.42</v>
      </c>
      <c r="H221" s="9">
        <v>79</v>
      </c>
      <c r="I221" s="10" t="s">
        <v>1063</v>
      </c>
      <c r="J221" s="10" t="s">
        <v>1056</v>
      </c>
      <c r="K221" s="10" t="s">
        <v>1051</v>
      </c>
    </row>
    <row r="222" spans="1:11" x14ac:dyDescent="0.3">
      <c r="A222" s="4" t="s">
        <v>979</v>
      </c>
      <c r="B222" s="4" t="s">
        <v>980</v>
      </c>
      <c r="C222" s="4" t="s">
        <v>981</v>
      </c>
      <c r="D222" s="4" t="s">
        <v>982</v>
      </c>
      <c r="E222" s="20" t="s">
        <v>1280</v>
      </c>
      <c r="F222" s="5">
        <v>44210</v>
      </c>
      <c r="G222" s="6">
        <v>4.01</v>
      </c>
      <c r="H222" s="9">
        <v>79</v>
      </c>
      <c r="I222" s="10" t="s">
        <v>1063</v>
      </c>
      <c r="J222" s="10" t="s">
        <v>1056</v>
      </c>
      <c r="K222" s="10" t="s">
        <v>1057</v>
      </c>
    </row>
    <row r="223" spans="1:11" x14ac:dyDescent="0.3">
      <c r="A223" s="7" t="s">
        <v>287</v>
      </c>
      <c r="B223" s="7" t="s">
        <v>288</v>
      </c>
      <c r="C223" s="7" t="s">
        <v>291</v>
      </c>
      <c r="D223" s="7" t="s">
        <v>122</v>
      </c>
      <c r="E223" s="16">
        <v>336000</v>
      </c>
      <c r="F223" s="34">
        <v>32223</v>
      </c>
      <c r="G223" s="3">
        <v>4.6989999999999998</v>
      </c>
      <c r="H223" s="9">
        <v>77</v>
      </c>
      <c r="I223" s="10" t="s">
        <v>1063</v>
      </c>
      <c r="J223" s="10" t="s">
        <v>1056</v>
      </c>
      <c r="K223" s="10" t="s">
        <v>1051</v>
      </c>
    </row>
    <row r="224" spans="1:11" x14ac:dyDescent="0.3">
      <c r="A224" s="4" t="s">
        <v>931</v>
      </c>
      <c r="B224" s="4" t="s">
        <v>932</v>
      </c>
      <c r="C224" s="4" t="s">
        <v>933</v>
      </c>
      <c r="D224" s="4" t="s">
        <v>934</v>
      </c>
      <c r="E224" s="18">
        <v>1000000</v>
      </c>
      <c r="F224" s="5">
        <v>38908</v>
      </c>
      <c r="G224" s="6">
        <v>4.1399999999999997</v>
      </c>
      <c r="H224" s="9">
        <v>77</v>
      </c>
      <c r="I224" s="10" t="s">
        <v>1063</v>
      </c>
      <c r="J224" s="10" t="s">
        <v>1056</v>
      </c>
      <c r="K224" s="10" t="s">
        <v>1066</v>
      </c>
    </row>
    <row r="225" spans="1:11" x14ac:dyDescent="0.3">
      <c r="A225" s="4" t="s">
        <v>903</v>
      </c>
      <c r="B225" s="4" t="s">
        <v>288</v>
      </c>
      <c r="C225" s="4" t="s">
        <v>904</v>
      </c>
      <c r="D225" s="4" t="s">
        <v>905</v>
      </c>
      <c r="E225" s="18">
        <v>1222500</v>
      </c>
      <c r="F225" s="5">
        <v>40148</v>
      </c>
      <c r="G225" s="6">
        <v>3.72</v>
      </c>
      <c r="H225" s="9">
        <v>77</v>
      </c>
      <c r="I225" s="10" t="s">
        <v>1063</v>
      </c>
      <c r="J225" s="10" t="s">
        <v>1056</v>
      </c>
      <c r="K225" s="10" t="s">
        <v>1066</v>
      </c>
    </row>
    <row r="226" spans="1:11" x14ac:dyDescent="0.3">
      <c r="A226" s="11" t="s">
        <v>1199</v>
      </c>
      <c r="B226" s="11" t="s">
        <v>1200</v>
      </c>
      <c r="C226" s="11" t="s">
        <v>1201</v>
      </c>
      <c r="D226" s="11" t="s">
        <v>1202</v>
      </c>
      <c r="E226" s="17">
        <v>1250000</v>
      </c>
      <c r="F226" s="33">
        <v>41544</v>
      </c>
      <c r="G226" s="12">
        <v>3.33</v>
      </c>
      <c r="H226" s="9">
        <v>77</v>
      </c>
      <c r="I226" s="10" t="s">
        <v>1055</v>
      </c>
      <c r="J226" s="10" t="s">
        <v>1056</v>
      </c>
      <c r="K226" s="10" t="s">
        <v>1064</v>
      </c>
    </row>
    <row r="227" spans="1:11" x14ac:dyDescent="0.3">
      <c r="A227" s="4" t="s">
        <v>890</v>
      </c>
      <c r="B227" s="4" t="s">
        <v>891</v>
      </c>
      <c r="C227" s="4" t="s">
        <v>707</v>
      </c>
      <c r="D227" s="4" t="s">
        <v>889</v>
      </c>
      <c r="E227" s="18">
        <v>1295000</v>
      </c>
      <c r="F227" s="5">
        <v>41138</v>
      </c>
      <c r="G227" s="6">
        <v>3.76</v>
      </c>
      <c r="H227" s="9">
        <v>77</v>
      </c>
      <c r="I227" s="10" t="s">
        <v>1055</v>
      </c>
      <c r="J227" s="10" t="s">
        <v>1056</v>
      </c>
      <c r="K227" s="10" t="s">
        <v>1064</v>
      </c>
    </row>
    <row r="228" spans="1:11" x14ac:dyDescent="0.3">
      <c r="A228" s="27" t="s">
        <v>1366</v>
      </c>
      <c r="B228" s="27" t="s">
        <v>1551</v>
      </c>
      <c r="C228" s="27" t="s">
        <v>1552</v>
      </c>
      <c r="D228" s="27" t="s">
        <v>1340</v>
      </c>
      <c r="E228" s="32">
        <v>1340000</v>
      </c>
      <c r="F228" s="28">
        <v>40039</v>
      </c>
      <c r="G228" s="29">
        <v>3.02</v>
      </c>
      <c r="H228" s="30" cm="1">
        <f t="array" ref="H228">_xlfn.IFS(I228="Founder / Owner",IF(ISNUMBER(SEARCH("owner",B228)),80,96),I228="C-Suite",IF(OR(ISNUMBER(SEARCH("ceo",B228)),ISNUMBER(SEARCH("chief executive",B228))),95,91),I228="Managing Director",86,I228="Partner",IF(OR(ISNUMBER(SEARCH("managing partner",B228)),ISNUMBER(SEARCH("general partner",B228))),88,85),I228="VP / Head",_xlfn.IFS(OR(ISNUMBER(SEARCH("vice president",B228)),ISNUMBER(SEARCH("executive vice",B228))),91,ISNUMBER(SEARCH("svp",B228)),77,TRUE,73),I228="Director",IF(ISNUMBER(SEARCH("principal",B228)),72,71),I228="Individual Contributor",32,OR(ISNUMBER(SEARCH("surgeon",B228)),ISNUMBER(SEARCH("physician",B228)),ISNUMBER(SEARCH("doctor",B228)),ISNUMBER(SEARCH("dentist",B228)),ISNUMBER(SEARCH("psychiat",B228)),ISNUMBER(SEARCH("oncolog",B228)),ISNUMBER(SEARCH("neurolog",B228)),ISNUMBER(SEARCH("patholog",B228)),ISNUMBER(SEARCH("medicine",B228)),ISNUMBER(SEARCH("obgyn",B228))),77,OR(ISNUMBER(SEARCH("portfolio manager",B228)),ISNUMBER(SEARCH("wealth advisor",B228))),81,OR(ISNUMBER(SEARCH("lawyer",B228)),ISNUMBER(SEARCH("attorney",B228))),68,ISNUMBER(SEARCH("counsel",B228)),66,ISNUMBER(SEARCH("professor",B228)),63,OR(ISNUMBER(SEARCH("engineer",B228)),ISNUMBER(SEARCH("consultant",B228))),62,ISNUMBER(SEARCH("senior manager",B228)),64,OR(ISNUMBER(SEARCH("realtor",B228)),ISNUMBER(SEARCH("broker",B228)),ISNUMBER(SEARCH("journalist",B228)),ISNUMBER(SEARCH("columnist",B228)),ISNUMBER(SEARCH("trader",B228)),ISNUMBER(SEARCH("actor",B228))),50,TRUE,60)</f>
        <v>77</v>
      </c>
      <c r="I228" s="31" t="str" cm="1">
        <f t="array" ref="I228">_xlfn.LET(_xlpm.p," "&amp;LOWER(SUBSTITUTE(SUBSTITUTE(SUBSTITUTE(B228,",","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28" s="31" t="str" cm="1">
        <f t="array" ref="J228">_xlfn.IFS(H228&gt;=90,"Very High",H228&gt;=80,"High",H228&gt;=56,"Medium",TRUE,"Low")</f>
        <v>Medium</v>
      </c>
      <c r="K228" s="31" t="str" cm="1">
        <f t="array" ref="K228">_xlfn.IFS(OR(ISNUMBER(SEARCH("hospital",C228)),ISNUMBER(SEARCH("health",C228)),ISNUMBER(SEARCH("medical",C228)),ISNUMBER(SEARCH("clinic",C228)),ISNUMBER(SEARCH("nursing",C228)),ISNUMBER(SEARCH("care cent",C228)),ISNUMBER(SEARCH("physician",B228)),ISNUMBER(SEARCH("doctor",B228)),ISNUMBER(SEARCH("dentist",B228)),ISNUMBER(SEARCH("surgeon",B228)),ISNUMBER(SEARCH("psychiat",B228)),ISNUMBER(SEARCH("medicine",B228))),"Healthcare",OR(ISNUMBER(SEARCH("llp",C228)),ISNUMBER(SEARCH("lawyer",B228)),ISNUMBER(SEARCH("attorney",B228)),ISNUMBER(SEARCH("legal",C228)),ISNUMBER(SEARCH("tetrault",C228)),ISNUMBER(SEARCH("morley",C228)),ISNUMBER(SEARCH("blg",C228)),ISNUMBER(SEARCH("lowy",C228)),ISNUMBER(SEARCH("riley",C228)),ISNUMBER(SEARCH("toomath",C228))),"Law",OR(ISNUMBER(SEARCH("reit",C228)),ISNUMBER(SEARCH("properties",C228)),ISNUMBER(SEARCH("realty",C228)),ISNUMBER(SEARCH("realtor",B228)),ISNUMBER(SEARCH("colliers",C228)),ISNUMBER(SEARCH("re/max",C228)),ISNUMBER(SEARCH("quadreal",C228)),ISNUMBER(SEARCH("vic management",C228))),"Real Estate",OR(ISNUMBER(SEARCH("deloitte",C228)),ISNUMBER(SEARCH("kpmg",C228)),ISNUMBER(SEARCH("pwc",C228)),ISNUMBER(SEARCH("consulting",C228)),ISNUMBER(SEARCH("consultant",B228)),ISNUMBER(SEARCH("advisory",C228)),ISNUMBER(SEARCH("philanthropic",C228)),ISNUMBER(SEARCH("argyle",C228)),ISNUMBER(SEARCH("quinn",C228))),"Consulting",OR(ISNUMBER(SEARCH("media",C228)),ISNUMBER(SEARCH("news",C228)),ISNUMBER(SEARCH("radio",C228)),ISNUMBER(SEARCH("film",C228)),ISNUMBER(SEARCH("journalist",B228)),ISNUMBER(SEARCH("columnist",B228)),ISNUMBER(SEARCH("globe",C228)),ISNUMBER(SEARCH("marketing",C228)),ISNUMBER(SEARCH("actor",B228))),"Media",OR(ISNUMBER(SEARCH("rbc",C228)),ISNUMBER(SEARCH("cibc",C228)),ISNUMBER(SEARCH("bmo",C228)),ISNUMBER(SEARCH("scotia",C228)),ISNUMBER(SEARCH("bank",C228)),ISNUMBER(SEARCH("capital",C228)),ISNUMBER(SEARCH("wealth",C228)),ISNUMBER(SEARCH("financial",C228)),ISNUMBER(SEARCH("securities",C228)),ISNUMBER(SEARCH("fidelity",C228)),ISNUMBER(SEARCH("guardian",C228)),ISNUMBER(SEARCH("wealthsimple",C228)),ISNUMBER(SEARCH("credit suisse",C228)),ISNUMBER(SEARCH("tmx",C228)),ISNUMBER(SEARCH("investors",C228)),ISNUMBER(SEARCH("trader",B228))),"Finance",OR(ISNUMBER(SEARCH("ventures",C228)),ISNUMBER(SEARCH("private equity",B228)),ISNUMBER(SEARCH("capital partners",C228))),"Private Equity / VC",OR(ISNUMBER(SEARCH("government",C228)),ISNUMBER(SEARCH("ministry",C228)),ISNUMBER(SEARCH("tribunal",C228)),ISNUMBER(SEARCH("tdsb",C228)),ISNUMBER(SEARCH("public service",C228))),"Government",OR(ISNUMBER(SEARCH("association",C228)),ISNUMBER(SEARCH("institute",C228)),ISNUMBER(SEARCH("foundation",C228))),"Nonprofit",OR(ISNUMBER(SEARCH("software",C228)),ISNUMBER(SEARCH("tech",C228)),ISNUMBER(SEARCH("systems",C228)),ISNUMBER(SEARCH("digital",C228)),ISNUMBER(SEARCH("engineering",C228)),ISNUMBER(SEARCH("solutions",C228))),"Technology",TRUE,"Other")</f>
        <v>Healthcare</v>
      </c>
    </row>
    <row r="229" spans="1:11" x14ac:dyDescent="0.3">
      <c r="A229" s="4" t="s">
        <v>201</v>
      </c>
      <c r="B229" s="4" t="s">
        <v>1543</v>
      </c>
      <c r="C229" s="4" t="s">
        <v>1544</v>
      </c>
      <c r="D229" s="4" t="s">
        <v>202</v>
      </c>
      <c r="E229" s="18">
        <v>1550000</v>
      </c>
      <c r="F229" s="5">
        <v>43770</v>
      </c>
      <c r="G229" s="6">
        <v>4.7930000000000001</v>
      </c>
      <c r="H229" s="9">
        <v>77</v>
      </c>
      <c r="I229" s="10" t="s">
        <v>1055</v>
      </c>
      <c r="J229" s="10" t="s">
        <v>1056</v>
      </c>
      <c r="K229" s="10" t="s">
        <v>1064</v>
      </c>
    </row>
    <row r="230" spans="1:11" x14ac:dyDescent="0.3">
      <c r="A230" s="4" t="s">
        <v>828</v>
      </c>
      <c r="B230" s="4" t="s">
        <v>1530</v>
      </c>
      <c r="C230" s="4" t="s">
        <v>829</v>
      </c>
      <c r="D230" s="4" t="s">
        <v>830</v>
      </c>
      <c r="E230" s="18">
        <v>1645000</v>
      </c>
      <c r="F230" s="5">
        <v>40816</v>
      </c>
      <c r="G230" s="6">
        <v>4.04</v>
      </c>
      <c r="H230" s="9">
        <v>77</v>
      </c>
      <c r="I230" s="10" t="s">
        <v>1055</v>
      </c>
      <c r="J230" s="10" t="s">
        <v>1056</v>
      </c>
      <c r="K230" s="10" t="s">
        <v>1064</v>
      </c>
    </row>
    <row r="231" spans="1:11" x14ac:dyDescent="0.3">
      <c r="A231" s="4" t="s">
        <v>276</v>
      </c>
      <c r="B231" s="4" t="s">
        <v>1496</v>
      </c>
      <c r="C231" s="4" t="s">
        <v>128</v>
      </c>
      <c r="D231" s="4" t="s">
        <v>277</v>
      </c>
      <c r="E231" s="18">
        <v>1658000</v>
      </c>
      <c r="F231" s="5">
        <v>44043</v>
      </c>
      <c r="G231" s="6">
        <v>4.6539999999999999</v>
      </c>
      <c r="H231" s="9">
        <v>77</v>
      </c>
      <c r="I231" s="10" t="s">
        <v>1055</v>
      </c>
      <c r="J231" s="10" t="s">
        <v>1056</v>
      </c>
      <c r="K231" s="10" t="s">
        <v>1064</v>
      </c>
    </row>
    <row r="232" spans="1:11" x14ac:dyDescent="0.3">
      <c r="A232" s="7" t="s">
        <v>818</v>
      </c>
      <c r="B232" s="7" t="s">
        <v>819</v>
      </c>
      <c r="C232" s="7" t="s">
        <v>820</v>
      </c>
      <c r="D232" s="7" t="s">
        <v>817</v>
      </c>
      <c r="E232" s="16">
        <v>1700000</v>
      </c>
      <c r="F232" s="34">
        <v>41087</v>
      </c>
      <c r="G232" s="3">
        <v>3.9</v>
      </c>
      <c r="H232" s="9">
        <v>77</v>
      </c>
      <c r="I232" s="10" t="s">
        <v>1063</v>
      </c>
      <c r="J232" s="10" t="s">
        <v>1056</v>
      </c>
      <c r="K232" s="10" t="s">
        <v>1054</v>
      </c>
    </row>
    <row r="233" spans="1:11" x14ac:dyDescent="0.3">
      <c r="A233" s="11" t="s">
        <v>798</v>
      </c>
      <c r="B233" s="11" t="s">
        <v>799</v>
      </c>
      <c r="C233" s="11" t="s">
        <v>800</v>
      </c>
      <c r="D233" s="11" t="s">
        <v>801</v>
      </c>
      <c r="E233" s="17">
        <v>1755000</v>
      </c>
      <c r="F233" s="33">
        <v>39405</v>
      </c>
      <c r="G233" s="12">
        <v>4.05</v>
      </c>
      <c r="H233" s="9">
        <v>77</v>
      </c>
      <c r="I233" s="10" t="s">
        <v>1063</v>
      </c>
      <c r="J233" s="10" t="s">
        <v>1056</v>
      </c>
      <c r="K233" s="10" t="s">
        <v>1054</v>
      </c>
    </row>
    <row r="234" spans="1:11" x14ac:dyDescent="0.3">
      <c r="A234" s="4" t="s">
        <v>45</v>
      </c>
      <c r="B234" s="4" t="s">
        <v>46</v>
      </c>
      <c r="C234" s="4" t="s">
        <v>47</v>
      </c>
      <c r="D234" s="4" t="s">
        <v>48</v>
      </c>
      <c r="E234" s="18">
        <v>1760000</v>
      </c>
      <c r="F234" s="5">
        <v>41460</v>
      </c>
      <c r="G234" s="6">
        <v>4.6959999999999997</v>
      </c>
      <c r="H234" s="9">
        <v>77</v>
      </c>
      <c r="I234" s="10" t="s">
        <v>1063</v>
      </c>
      <c r="J234" s="10" t="s">
        <v>1056</v>
      </c>
      <c r="K234" s="10" t="s">
        <v>1068</v>
      </c>
    </row>
    <row r="235" spans="1:11" x14ac:dyDescent="0.3">
      <c r="A235" s="4" t="s">
        <v>1180</v>
      </c>
      <c r="B235" s="4" t="s">
        <v>1510</v>
      </c>
      <c r="C235" s="4" t="s">
        <v>829</v>
      </c>
      <c r="D235" s="4" t="s">
        <v>1181</v>
      </c>
      <c r="E235" s="18">
        <v>1850000</v>
      </c>
      <c r="F235" s="5">
        <v>40571</v>
      </c>
      <c r="G235" s="6">
        <v>3.35</v>
      </c>
      <c r="H235" s="9">
        <v>77</v>
      </c>
      <c r="I235" s="10" t="s">
        <v>1055</v>
      </c>
      <c r="J235" s="10" t="s">
        <v>1056</v>
      </c>
      <c r="K235" s="10" t="s">
        <v>1064</v>
      </c>
    </row>
    <row r="236" spans="1:11" x14ac:dyDescent="0.3">
      <c r="A236" s="4" t="s">
        <v>768</v>
      </c>
      <c r="B236" s="4" t="s">
        <v>769</v>
      </c>
      <c r="C236" s="4" t="s">
        <v>770</v>
      </c>
      <c r="D236" s="4" t="s">
        <v>771</v>
      </c>
      <c r="E236" s="18">
        <v>1950000</v>
      </c>
      <c r="F236" s="5">
        <v>42339</v>
      </c>
      <c r="G236" s="3">
        <v>4.13</v>
      </c>
      <c r="H236" s="9">
        <v>77</v>
      </c>
      <c r="I236" s="10" t="s">
        <v>1063</v>
      </c>
      <c r="J236" s="10" t="s">
        <v>1056</v>
      </c>
      <c r="K236" s="10" t="s">
        <v>1062</v>
      </c>
    </row>
    <row r="237" spans="1:11" x14ac:dyDescent="0.3">
      <c r="A237" s="27" t="s">
        <v>1377</v>
      </c>
      <c r="B237" s="27" t="s">
        <v>101</v>
      </c>
      <c r="C237" s="27" t="s">
        <v>1378</v>
      </c>
      <c r="D237" s="27" t="s">
        <v>1379</v>
      </c>
      <c r="E237" s="32">
        <v>2160000</v>
      </c>
      <c r="F237" s="28">
        <v>43035</v>
      </c>
      <c r="G237" s="29">
        <v>3.19</v>
      </c>
      <c r="H237" s="30" cm="1">
        <f t="array" ref="H237">_xlfn.IFS(I237="Founder / Owner",IF(ISNUMBER(SEARCH("owner",B237)),80,96),I237="C-Suite",IF(OR(ISNUMBER(SEARCH("ceo",B237)),ISNUMBER(SEARCH("chief executive",B237))),95,91),I237="Managing Director",86,I237="Partner",IF(OR(ISNUMBER(SEARCH("managing partner",B237)),ISNUMBER(SEARCH("general partner",B237))),88,85),I237="VP / Head",_xlfn.IFS(OR(ISNUMBER(SEARCH("vice president",B237)),ISNUMBER(SEARCH("executive vice",B237))),91,ISNUMBER(SEARCH("svp",B237)),77,TRUE,73),I237="Director",IF(ISNUMBER(SEARCH("principal",B237)),72,71),I237="Individual Contributor",32,OR(ISNUMBER(SEARCH("surgeon",B237)),ISNUMBER(SEARCH("physician",B237)),ISNUMBER(SEARCH("doctor",B237)),ISNUMBER(SEARCH("dentist",B237)),ISNUMBER(SEARCH("psychiat",B237)),ISNUMBER(SEARCH("oncolog",B237)),ISNUMBER(SEARCH("neurolog",B237)),ISNUMBER(SEARCH("patholog",B237)),ISNUMBER(SEARCH("medicine",B237)),ISNUMBER(SEARCH("obgyn",B237))),77,OR(ISNUMBER(SEARCH("portfolio manager",B237)),ISNUMBER(SEARCH("wealth advisor",B237))),81,OR(ISNUMBER(SEARCH("lawyer",B237)),ISNUMBER(SEARCH("attorney",B237))),68,ISNUMBER(SEARCH("counsel",B237)),66,ISNUMBER(SEARCH("professor",B237)),63,OR(ISNUMBER(SEARCH("engineer",B237)),ISNUMBER(SEARCH("consultant",B237))),62,ISNUMBER(SEARCH("senior manager",B237)),64,OR(ISNUMBER(SEARCH("realtor",B237)),ISNUMBER(SEARCH("broker",B237)),ISNUMBER(SEARCH("journalist",B237)),ISNUMBER(SEARCH("columnist",B237)),ISNUMBER(SEARCH("trader",B237)),ISNUMBER(SEARCH("actor",B237))),50,TRUE,60)</f>
        <v>77</v>
      </c>
      <c r="I237" s="31" t="str" cm="1">
        <f t="array" ref="I237">_xlfn.LET(_xlpm.p," "&amp;LOWER(SUBSTITUTE(SUBSTITUTE(SUBSTITUTE(B237,",","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37" s="31" t="str" cm="1">
        <f t="array" ref="J237">_xlfn.IFS(H237&gt;=90,"Very High",H237&gt;=80,"High",H237&gt;=56,"Medium",TRUE,"Low")</f>
        <v>Medium</v>
      </c>
      <c r="K237" s="31" t="str" cm="1">
        <f t="array" ref="K237">_xlfn.IFS(OR(ISNUMBER(SEARCH("hospital",C237)),ISNUMBER(SEARCH("health",C237)),ISNUMBER(SEARCH("medical",C237)),ISNUMBER(SEARCH("clinic",C237)),ISNUMBER(SEARCH("nursing",C237)),ISNUMBER(SEARCH("care cent",C237)),ISNUMBER(SEARCH("physician",B237)),ISNUMBER(SEARCH("doctor",B237)),ISNUMBER(SEARCH("dentist",B237)),ISNUMBER(SEARCH("surgeon",B237)),ISNUMBER(SEARCH("psychiat",B237)),ISNUMBER(SEARCH("medicine",B237))),"Healthcare",OR(ISNUMBER(SEARCH("llp",C237)),ISNUMBER(SEARCH("lawyer",B237)),ISNUMBER(SEARCH("attorney",B237)),ISNUMBER(SEARCH("legal",C237)),ISNUMBER(SEARCH("tetrault",C237)),ISNUMBER(SEARCH("morley",C237)),ISNUMBER(SEARCH("blg",C237)),ISNUMBER(SEARCH("lowy",C237)),ISNUMBER(SEARCH("riley",C237)),ISNUMBER(SEARCH("toomath",C237))),"Law",OR(ISNUMBER(SEARCH("reit",C237)),ISNUMBER(SEARCH("properties",C237)),ISNUMBER(SEARCH("realty",C237)),ISNUMBER(SEARCH("realtor",B237)),ISNUMBER(SEARCH("colliers",C237)),ISNUMBER(SEARCH("re/max",C237)),ISNUMBER(SEARCH("quadreal",C237)),ISNUMBER(SEARCH("vic management",C237))),"Real Estate",OR(ISNUMBER(SEARCH("deloitte",C237)),ISNUMBER(SEARCH("kpmg",C237)),ISNUMBER(SEARCH("pwc",C237)),ISNUMBER(SEARCH("consulting",C237)),ISNUMBER(SEARCH("consultant",B237)),ISNUMBER(SEARCH("advisory",C237)),ISNUMBER(SEARCH("philanthropic",C237)),ISNUMBER(SEARCH("argyle",C237)),ISNUMBER(SEARCH("quinn",C237))),"Consulting",OR(ISNUMBER(SEARCH("media",C237)),ISNUMBER(SEARCH("news",C237)),ISNUMBER(SEARCH("radio",C237)),ISNUMBER(SEARCH("film",C237)),ISNUMBER(SEARCH("journalist",B237)),ISNUMBER(SEARCH("columnist",B237)),ISNUMBER(SEARCH("globe",C237)),ISNUMBER(SEARCH("marketing",C237)),ISNUMBER(SEARCH("actor",B237))),"Media",OR(ISNUMBER(SEARCH("rbc",C237)),ISNUMBER(SEARCH("cibc",C237)),ISNUMBER(SEARCH("bmo",C237)),ISNUMBER(SEARCH("scotia",C237)),ISNUMBER(SEARCH("bank",C237)),ISNUMBER(SEARCH("capital",C237)),ISNUMBER(SEARCH("wealth",C237)),ISNUMBER(SEARCH("financial",C237)),ISNUMBER(SEARCH("securities",C237)),ISNUMBER(SEARCH("fidelity",C237)),ISNUMBER(SEARCH("guardian",C237)),ISNUMBER(SEARCH("wealthsimple",C237)),ISNUMBER(SEARCH("credit suisse",C237)),ISNUMBER(SEARCH("tmx",C237)),ISNUMBER(SEARCH("investors",C237)),ISNUMBER(SEARCH("trader",B237))),"Finance",OR(ISNUMBER(SEARCH("ventures",C237)),ISNUMBER(SEARCH("private equity",B237)),ISNUMBER(SEARCH("capital partners",C237))),"Private Equity / VC",OR(ISNUMBER(SEARCH("government",C237)),ISNUMBER(SEARCH("ministry",C237)),ISNUMBER(SEARCH("tribunal",C237)),ISNUMBER(SEARCH("tdsb",C237)),ISNUMBER(SEARCH("public service",C237))),"Government",OR(ISNUMBER(SEARCH("association",C237)),ISNUMBER(SEARCH("institute",C237)),ISNUMBER(SEARCH("foundation",C237))),"Nonprofit",OR(ISNUMBER(SEARCH("software",C237)),ISNUMBER(SEARCH("tech",C237)),ISNUMBER(SEARCH("systems",C237)),ISNUMBER(SEARCH("digital",C237)),ISNUMBER(SEARCH("engineering",C237)),ISNUMBER(SEARCH("solutions",C237))),"Technology",TRUE,"Other")</f>
        <v>Healthcare</v>
      </c>
    </row>
    <row r="238" spans="1:11" x14ac:dyDescent="0.3">
      <c r="A238" s="11" t="s">
        <v>705</v>
      </c>
      <c r="B238" s="11" t="s">
        <v>706</v>
      </c>
      <c r="C238" s="11" t="s">
        <v>707</v>
      </c>
      <c r="D238" s="11" t="s">
        <v>708</v>
      </c>
      <c r="E238" s="17">
        <v>2275000</v>
      </c>
      <c r="F238" s="33">
        <v>41087</v>
      </c>
      <c r="G238" s="12">
        <v>3.63</v>
      </c>
      <c r="H238" s="9">
        <v>77</v>
      </c>
      <c r="I238" s="10" t="s">
        <v>1055</v>
      </c>
      <c r="J238" s="10" t="s">
        <v>1056</v>
      </c>
      <c r="K238" s="10" t="s">
        <v>1064</v>
      </c>
    </row>
    <row r="239" spans="1:11" x14ac:dyDescent="0.3">
      <c r="A239" s="4" t="s">
        <v>709</v>
      </c>
      <c r="B239" s="4" t="s">
        <v>710</v>
      </c>
      <c r="C239" s="4" t="s">
        <v>707</v>
      </c>
      <c r="D239" s="4" t="s">
        <v>708</v>
      </c>
      <c r="E239" s="18">
        <v>2275000</v>
      </c>
      <c r="F239" s="5">
        <v>41087</v>
      </c>
      <c r="G239" s="6">
        <v>3.63</v>
      </c>
      <c r="H239" s="9">
        <v>77</v>
      </c>
      <c r="I239" s="10" t="s">
        <v>1055</v>
      </c>
      <c r="J239" s="10" t="s">
        <v>1056</v>
      </c>
      <c r="K239" s="10" t="s">
        <v>1064</v>
      </c>
    </row>
    <row r="240" spans="1:11" x14ac:dyDescent="0.3">
      <c r="A240" s="4" t="s">
        <v>692</v>
      </c>
      <c r="B240" s="4" t="s">
        <v>693</v>
      </c>
      <c r="C240" s="4" t="s">
        <v>694</v>
      </c>
      <c r="D240" s="4" t="s">
        <v>695</v>
      </c>
      <c r="E240" s="18">
        <v>2300000</v>
      </c>
      <c r="F240" s="5">
        <v>42916</v>
      </c>
      <c r="G240" s="6">
        <v>4.18</v>
      </c>
      <c r="H240" s="9">
        <v>77</v>
      </c>
      <c r="I240" s="10" t="s">
        <v>1055</v>
      </c>
      <c r="J240" s="10" t="s">
        <v>1056</v>
      </c>
      <c r="K240" s="10" t="s">
        <v>1064</v>
      </c>
    </row>
    <row r="241" spans="1:11" x14ac:dyDescent="0.3">
      <c r="A241" s="4" t="s">
        <v>689</v>
      </c>
      <c r="B241" s="4" t="s">
        <v>1517</v>
      </c>
      <c r="C241" s="4" t="s">
        <v>467</v>
      </c>
      <c r="D241" s="4" t="s">
        <v>688</v>
      </c>
      <c r="E241" s="18">
        <v>2338500</v>
      </c>
      <c r="F241" s="5">
        <v>44161</v>
      </c>
      <c r="G241" s="6">
        <v>4.13</v>
      </c>
      <c r="H241" s="9">
        <v>77</v>
      </c>
      <c r="I241" s="10" t="s">
        <v>1055</v>
      </c>
      <c r="J241" s="10" t="s">
        <v>1056</v>
      </c>
      <c r="K241" s="10" t="s">
        <v>1064</v>
      </c>
    </row>
    <row r="242" spans="1:11" x14ac:dyDescent="0.3">
      <c r="A242" s="4" t="s">
        <v>126</v>
      </c>
      <c r="B242" s="4" t="s">
        <v>127</v>
      </c>
      <c r="C242" s="4" t="s">
        <v>128</v>
      </c>
      <c r="D242" s="4" t="s">
        <v>129</v>
      </c>
      <c r="E242" s="18">
        <v>2350000</v>
      </c>
      <c r="F242" s="5">
        <v>42699</v>
      </c>
      <c r="G242" s="6">
        <v>2.8290000000000002</v>
      </c>
      <c r="H242" s="9">
        <v>77</v>
      </c>
      <c r="I242" s="10" t="s">
        <v>1055</v>
      </c>
      <c r="J242" s="10" t="s">
        <v>1056</v>
      </c>
      <c r="K242" s="10" t="s">
        <v>1064</v>
      </c>
    </row>
    <row r="243" spans="1:11" x14ac:dyDescent="0.3">
      <c r="A243" s="4" t="s">
        <v>651</v>
      </c>
      <c r="B243" s="4" t="s">
        <v>652</v>
      </c>
      <c r="C243" s="4" t="s">
        <v>653</v>
      </c>
      <c r="D243" s="4" t="s">
        <v>654</v>
      </c>
      <c r="E243" s="18">
        <v>2400000</v>
      </c>
      <c r="F243" s="5">
        <v>41823</v>
      </c>
      <c r="G243" s="3">
        <v>4.09</v>
      </c>
      <c r="H243" s="9">
        <v>77</v>
      </c>
      <c r="I243" s="10" t="s">
        <v>1055</v>
      </c>
      <c r="J243" s="10" t="s">
        <v>1056</v>
      </c>
      <c r="K243" s="10" t="s">
        <v>1064</v>
      </c>
    </row>
    <row r="244" spans="1:11" x14ac:dyDescent="0.3">
      <c r="A244" s="4" t="s">
        <v>664</v>
      </c>
      <c r="B244" s="4" t="s">
        <v>1549</v>
      </c>
      <c r="C244" s="4" t="s">
        <v>665</v>
      </c>
      <c r="D244" s="4" t="s">
        <v>654</v>
      </c>
      <c r="E244" s="18">
        <v>2400000</v>
      </c>
      <c r="F244" s="5">
        <v>41823</v>
      </c>
      <c r="G244" s="6">
        <v>4.09</v>
      </c>
      <c r="H244" s="9">
        <v>77</v>
      </c>
      <c r="I244" s="10" t="s">
        <v>1055</v>
      </c>
      <c r="J244" s="10" t="s">
        <v>1056</v>
      </c>
      <c r="K244" s="10" t="s">
        <v>1064</v>
      </c>
    </row>
    <row r="245" spans="1:11" x14ac:dyDescent="0.3">
      <c r="A245" s="4" t="s">
        <v>638</v>
      </c>
      <c r="B245" s="4" t="s">
        <v>639</v>
      </c>
      <c r="C245" s="4" t="s">
        <v>640</v>
      </c>
      <c r="D245" s="4" t="s">
        <v>641</v>
      </c>
      <c r="E245" s="18">
        <v>2440000</v>
      </c>
      <c r="F245" s="5">
        <v>41466</v>
      </c>
      <c r="G245" s="6">
        <v>3.97</v>
      </c>
      <c r="H245" s="9">
        <v>77</v>
      </c>
      <c r="I245" s="10" t="s">
        <v>1055</v>
      </c>
      <c r="J245" s="10" t="s">
        <v>1056</v>
      </c>
      <c r="K245" s="10" t="s">
        <v>1064</v>
      </c>
    </row>
    <row r="246" spans="1:11" x14ac:dyDescent="0.3">
      <c r="A246" s="4" t="s">
        <v>636</v>
      </c>
      <c r="B246" s="4" t="s">
        <v>637</v>
      </c>
      <c r="C246" s="4" t="s">
        <v>325</v>
      </c>
      <c r="D246" s="4" t="s">
        <v>635</v>
      </c>
      <c r="E246" s="18">
        <v>2450000</v>
      </c>
      <c r="F246" s="5">
        <v>44074</v>
      </c>
      <c r="G246" s="6">
        <v>4.0199999999999996</v>
      </c>
      <c r="H246" s="9">
        <v>77</v>
      </c>
      <c r="I246" s="10" t="s">
        <v>1063</v>
      </c>
      <c r="J246" s="10" t="s">
        <v>1056</v>
      </c>
      <c r="K246" s="10" t="s">
        <v>1054</v>
      </c>
    </row>
    <row r="247" spans="1:11" x14ac:dyDescent="0.3">
      <c r="A247" s="27" t="s">
        <v>1329</v>
      </c>
      <c r="B247" s="27" t="s">
        <v>290</v>
      </c>
      <c r="C247" s="27" t="s">
        <v>1525</v>
      </c>
      <c r="D247" s="27" t="s">
        <v>1317</v>
      </c>
      <c r="E247" s="32">
        <v>2530000</v>
      </c>
      <c r="F247" s="28">
        <v>42548</v>
      </c>
      <c r="G247" s="29">
        <v>3.01</v>
      </c>
      <c r="H247" s="30" cm="1">
        <f t="array" ref="H247">_xlfn.IFS(I247="Founder / Owner",IF(ISNUMBER(SEARCH("owner",B247)),80,96),I247="C-Suite",IF(OR(ISNUMBER(SEARCH("ceo",B247)),ISNUMBER(SEARCH("chief executive",B247))),95,91),I247="Managing Director",86,I247="Partner",IF(OR(ISNUMBER(SEARCH("managing partner",B247)),ISNUMBER(SEARCH("general partner",B247))),88,85),I247="VP / Head",_xlfn.IFS(OR(ISNUMBER(SEARCH("vice president",B247)),ISNUMBER(SEARCH("executive vice",B247))),91,ISNUMBER(SEARCH("svp",B247)),77,TRUE,73),I247="Director",IF(ISNUMBER(SEARCH("principal",B247)),72,71),I247="Individual Contributor",32,OR(ISNUMBER(SEARCH("surgeon",B247)),ISNUMBER(SEARCH("physician",B247)),ISNUMBER(SEARCH("doctor",B247)),ISNUMBER(SEARCH("dentist",B247)),ISNUMBER(SEARCH("psychiat",B247)),ISNUMBER(SEARCH("oncolog",B247)),ISNUMBER(SEARCH("neurolog",B247)),ISNUMBER(SEARCH("patholog",B247)),ISNUMBER(SEARCH("medicine",B247)),ISNUMBER(SEARCH("obgyn",B247))),77,OR(ISNUMBER(SEARCH("portfolio manager",B247)),ISNUMBER(SEARCH("wealth advisor",B247))),81,OR(ISNUMBER(SEARCH("lawyer",B247)),ISNUMBER(SEARCH("attorney",B247))),68,ISNUMBER(SEARCH("counsel",B247)),66,ISNUMBER(SEARCH("professor",B247)),63,OR(ISNUMBER(SEARCH("engineer",B247)),ISNUMBER(SEARCH("consultant",B247))),62,ISNUMBER(SEARCH("senior manager",B247)),64,OR(ISNUMBER(SEARCH("realtor",B247)),ISNUMBER(SEARCH("broker",B247)),ISNUMBER(SEARCH("journalist",B247)),ISNUMBER(SEARCH("columnist",B247)),ISNUMBER(SEARCH("trader",B247)),ISNUMBER(SEARCH("actor",B247))),50,TRUE,60)</f>
        <v>77</v>
      </c>
      <c r="I247" s="31" t="str" cm="1">
        <f t="array" ref="I247">_xlfn.LET(_xlpm.p," "&amp;LOWER(SUBSTITUTE(SUBSTITUTE(SUBSTITUTE(B247,",","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47" s="31" t="str" cm="1">
        <f t="array" ref="J247">_xlfn.IFS(H247&gt;=90,"Very High",H247&gt;=80,"High",H247&gt;=56,"Medium",TRUE,"Low")</f>
        <v>Medium</v>
      </c>
      <c r="K247" s="31" t="str" cm="1">
        <f t="array" ref="K247">_xlfn.IFS(OR(ISNUMBER(SEARCH("hospital",C247)),ISNUMBER(SEARCH("health",C247)),ISNUMBER(SEARCH("medical",C247)),ISNUMBER(SEARCH("clinic",C247)),ISNUMBER(SEARCH("nursing",C247)),ISNUMBER(SEARCH("care cent",C247)),ISNUMBER(SEARCH("physician",B247)),ISNUMBER(SEARCH("doctor",B247)),ISNUMBER(SEARCH("dentist",B247)),ISNUMBER(SEARCH("surgeon",B247)),ISNUMBER(SEARCH("psychiat",B247)),ISNUMBER(SEARCH("medicine",B247))),"Healthcare",OR(ISNUMBER(SEARCH("llp",C247)),ISNUMBER(SEARCH("lawyer",B247)),ISNUMBER(SEARCH("attorney",B247)),ISNUMBER(SEARCH("legal",C247)),ISNUMBER(SEARCH("tetrault",C247)),ISNUMBER(SEARCH("morley",C247)),ISNUMBER(SEARCH("blg",C247)),ISNUMBER(SEARCH("lowy",C247)),ISNUMBER(SEARCH("riley",C247)),ISNUMBER(SEARCH("toomath",C247))),"Law",OR(ISNUMBER(SEARCH("reit",C247)),ISNUMBER(SEARCH("properties",C247)),ISNUMBER(SEARCH("realty",C247)),ISNUMBER(SEARCH("realtor",B247)),ISNUMBER(SEARCH("colliers",C247)),ISNUMBER(SEARCH("re/max",C247)),ISNUMBER(SEARCH("quadreal",C247)),ISNUMBER(SEARCH("vic management",C247))),"Real Estate",OR(ISNUMBER(SEARCH("deloitte",C247)),ISNUMBER(SEARCH("kpmg",C247)),ISNUMBER(SEARCH("pwc",C247)),ISNUMBER(SEARCH("consulting",C247)),ISNUMBER(SEARCH("consultant",B247)),ISNUMBER(SEARCH("advisory",C247)),ISNUMBER(SEARCH("philanthropic",C247)),ISNUMBER(SEARCH("argyle",C247)),ISNUMBER(SEARCH("quinn",C247))),"Consulting",OR(ISNUMBER(SEARCH("media",C247)),ISNUMBER(SEARCH("news",C247)),ISNUMBER(SEARCH("radio",C247)),ISNUMBER(SEARCH("film",C247)),ISNUMBER(SEARCH("journalist",B247)),ISNUMBER(SEARCH("columnist",B247)),ISNUMBER(SEARCH("globe",C247)),ISNUMBER(SEARCH("marketing",C247)),ISNUMBER(SEARCH("actor",B247))),"Media",OR(ISNUMBER(SEARCH("rbc",C247)),ISNUMBER(SEARCH("cibc",C247)),ISNUMBER(SEARCH("bmo",C247)),ISNUMBER(SEARCH("scotia",C247)),ISNUMBER(SEARCH("bank",C247)),ISNUMBER(SEARCH("capital",C247)),ISNUMBER(SEARCH("wealth",C247)),ISNUMBER(SEARCH("financial",C247)),ISNUMBER(SEARCH("securities",C247)),ISNUMBER(SEARCH("fidelity",C247)),ISNUMBER(SEARCH("guardian",C247)),ISNUMBER(SEARCH("wealthsimple",C247)),ISNUMBER(SEARCH("credit suisse",C247)),ISNUMBER(SEARCH("tmx",C247)),ISNUMBER(SEARCH("investors",C247)),ISNUMBER(SEARCH("trader",B247))),"Finance",OR(ISNUMBER(SEARCH("ventures",C247)),ISNUMBER(SEARCH("private equity",B247)),ISNUMBER(SEARCH("capital partners",C247))),"Private Equity / VC",OR(ISNUMBER(SEARCH("government",C247)),ISNUMBER(SEARCH("ministry",C247)),ISNUMBER(SEARCH("tribunal",C247)),ISNUMBER(SEARCH("tdsb",C247)),ISNUMBER(SEARCH("public service",C247))),"Government",OR(ISNUMBER(SEARCH("association",C247)),ISNUMBER(SEARCH("institute",C247)),ISNUMBER(SEARCH("foundation",C247))),"Nonprofit",OR(ISNUMBER(SEARCH("software",C247)),ISNUMBER(SEARCH("tech",C247)),ISNUMBER(SEARCH("systems",C247)),ISNUMBER(SEARCH("digital",C247)),ISNUMBER(SEARCH("engineering",C247)),ISNUMBER(SEARCH("solutions",C247))),"Technology",TRUE,"Other")</f>
        <v>Healthcare</v>
      </c>
    </row>
    <row r="248" spans="1:11" x14ac:dyDescent="0.3">
      <c r="A248" s="11" t="s">
        <v>619</v>
      </c>
      <c r="B248" s="11" t="s">
        <v>288</v>
      </c>
      <c r="C248" s="11" t="s">
        <v>620</v>
      </c>
      <c r="D248" s="11" t="s">
        <v>618</v>
      </c>
      <c r="E248" s="17">
        <v>2550000</v>
      </c>
      <c r="F248" s="33">
        <v>41739</v>
      </c>
      <c r="G248" s="12">
        <v>4.26</v>
      </c>
      <c r="H248" s="9">
        <v>77</v>
      </c>
      <c r="I248" s="10" t="s">
        <v>1063</v>
      </c>
      <c r="J248" s="10" t="s">
        <v>1056</v>
      </c>
      <c r="K248" s="10" t="s">
        <v>1066</v>
      </c>
    </row>
    <row r="249" spans="1:11" x14ac:dyDescent="0.3">
      <c r="A249" s="4" t="s">
        <v>586</v>
      </c>
      <c r="B249" s="4" t="s">
        <v>587</v>
      </c>
      <c r="C249" s="4" t="s">
        <v>1500</v>
      </c>
      <c r="D249" s="4" t="s">
        <v>588</v>
      </c>
      <c r="E249" s="18">
        <v>2800000</v>
      </c>
      <c r="F249" s="5">
        <v>45810</v>
      </c>
      <c r="G249" s="6">
        <v>3.74</v>
      </c>
      <c r="H249" s="9">
        <v>77</v>
      </c>
      <c r="I249" s="10" t="s">
        <v>1055</v>
      </c>
      <c r="J249" s="10" t="s">
        <v>1056</v>
      </c>
      <c r="K249" s="10" t="s">
        <v>1064</v>
      </c>
    </row>
    <row r="250" spans="1:11" x14ac:dyDescent="0.3">
      <c r="A250" s="11" t="s">
        <v>212</v>
      </c>
      <c r="B250" s="11" t="s">
        <v>213</v>
      </c>
      <c r="C250" s="11" t="s">
        <v>653</v>
      </c>
      <c r="D250" s="11" t="s">
        <v>214</v>
      </c>
      <c r="E250" s="17">
        <v>2881045</v>
      </c>
      <c r="F250" s="33">
        <v>44593</v>
      </c>
      <c r="G250" s="12">
        <v>4.5339999999999998</v>
      </c>
      <c r="H250" s="9">
        <v>77</v>
      </c>
      <c r="I250" s="10" t="s">
        <v>1055</v>
      </c>
      <c r="J250" s="10" t="s">
        <v>1056</v>
      </c>
      <c r="K250" s="10" t="s">
        <v>1064</v>
      </c>
    </row>
    <row r="251" spans="1:11" x14ac:dyDescent="0.3">
      <c r="A251" s="11" t="s">
        <v>567</v>
      </c>
      <c r="B251" s="11" t="s">
        <v>1488</v>
      </c>
      <c r="C251" s="11" t="s">
        <v>568</v>
      </c>
      <c r="D251" s="11" t="s">
        <v>569</v>
      </c>
      <c r="E251" s="17">
        <v>2975093</v>
      </c>
      <c r="F251" s="33">
        <v>44516</v>
      </c>
      <c r="G251" s="12">
        <v>4.12</v>
      </c>
      <c r="H251" s="9">
        <v>77</v>
      </c>
      <c r="I251" s="10" t="s">
        <v>1055</v>
      </c>
      <c r="J251" s="10" t="s">
        <v>1056</v>
      </c>
      <c r="K251" s="10" t="s">
        <v>1064</v>
      </c>
    </row>
    <row r="252" spans="1:11" x14ac:dyDescent="0.3">
      <c r="A252" s="4" t="s">
        <v>557</v>
      </c>
      <c r="B252" s="4" t="s">
        <v>558</v>
      </c>
      <c r="C252" s="4" t="s">
        <v>471</v>
      </c>
      <c r="D252" s="4" t="s">
        <v>551</v>
      </c>
      <c r="E252" s="18">
        <v>3050000</v>
      </c>
      <c r="F252" s="5">
        <v>43656</v>
      </c>
      <c r="G252" s="6">
        <v>3.79</v>
      </c>
      <c r="H252" s="9">
        <v>77</v>
      </c>
      <c r="I252" s="10" t="s">
        <v>1055</v>
      </c>
      <c r="J252" s="10" t="s">
        <v>1056</v>
      </c>
      <c r="K252" s="10" t="s">
        <v>1064</v>
      </c>
    </row>
    <row r="253" spans="1:11" x14ac:dyDescent="0.3">
      <c r="A253" s="11" t="s">
        <v>1121</v>
      </c>
      <c r="B253" s="11" t="s">
        <v>1122</v>
      </c>
      <c r="C253" s="13" t="s">
        <v>653</v>
      </c>
      <c r="D253" s="13" t="s">
        <v>1123</v>
      </c>
      <c r="E253" s="17">
        <v>3200000</v>
      </c>
      <c r="F253" s="33">
        <v>44501</v>
      </c>
      <c r="G253" s="14">
        <v>3.42</v>
      </c>
      <c r="H253" s="9">
        <v>77</v>
      </c>
      <c r="I253" s="10" t="s">
        <v>1055</v>
      </c>
      <c r="J253" s="10" t="s">
        <v>1056</v>
      </c>
      <c r="K253" s="10" t="s">
        <v>1064</v>
      </c>
    </row>
    <row r="254" spans="1:11" x14ac:dyDescent="0.3">
      <c r="A254" s="11" t="s">
        <v>1108</v>
      </c>
      <c r="B254" s="11" t="s">
        <v>1109</v>
      </c>
      <c r="C254" s="11" t="s">
        <v>1110</v>
      </c>
      <c r="D254" s="11" t="s">
        <v>1111</v>
      </c>
      <c r="E254" s="17">
        <v>3500000</v>
      </c>
      <c r="F254" s="33">
        <v>44973</v>
      </c>
      <c r="G254" s="12">
        <v>3.23</v>
      </c>
      <c r="H254" s="9">
        <v>77</v>
      </c>
      <c r="I254" s="10" t="s">
        <v>1063</v>
      </c>
      <c r="J254" s="10" t="s">
        <v>1056</v>
      </c>
      <c r="K254" s="10" t="s">
        <v>1051</v>
      </c>
    </row>
    <row r="255" spans="1:11" x14ac:dyDescent="0.3">
      <c r="A255" s="4" t="s">
        <v>492</v>
      </c>
      <c r="B255" s="4" t="s">
        <v>493</v>
      </c>
      <c r="C255" s="4" t="s">
        <v>175</v>
      </c>
      <c r="D255" s="4" t="s">
        <v>494</v>
      </c>
      <c r="E255" s="18">
        <v>3600000</v>
      </c>
      <c r="F255" s="5">
        <v>42320</v>
      </c>
      <c r="G255" s="6">
        <v>3.71</v>
      </c>
      <c r="H255" s="9">
        <v>77</v>
      </c>
      <c r="I255" s="10" t="s">
        <v>1063</v>
      </c>
      <c r="J255" s="10" t="s">
        <v>1056</v>
      </c>
      <c r="K255" s="10" t="s">
        <v>1065</v>
      </c>
    </row>
    <row r="256" spans="1:11" x14ac:dyDescent="0.3">
      <c r="A256" s="4" t="s">
        <v>465</v>
      </c>
      <c r="B256" s="4" t="s">
        <v>466</v>
      </c>
      <c r="C256" s="4" t="s">
        <v>467</v>
      </c>
      <c r="D256" s="4" t="s">
        <v>468</v>
      </c>
      <c r="E256" s="18">
        <v>3725000</v>
      </c>
      <c r="F256" s="5">
        <v>43738</v>
      </c>
      <c r="G256" s="6">
        <v>3.97</v>
      </c>
      <c r="H256" s="9">
        <v>77</v>
      </c>
      <c r="I256" s="10" t="s">
        <v>1055</v>
      </c>
      <c r="J256" s="10" t="s">
        <v>1056</v>
      </c>
      <c r="K256" s="10" t="s">
        <v>1064</v>
      </c>
    </row>
    <row r="257" spans="1:11" x14ac:dyDescent="0.3">
      <c r="A257" s="4" t="s">
        <v>469</v>
      </c>
      <c r="B257" s="4" t="s">
        <v>470</v>
      </c>
      <c r="C257" s="4" t="s">
        <v>471</v>
      </c>
      <c r="D257" s="4" t="s">
        <v>468</v>
      </c>
      <c r="E257" s="18">
        <v>3725000</v>
      </c>
      <c r="F257" s="5">
        <v>43738</v>
      </c>
      <c r="G257" s="6">
        <v>3.97</v>
      </c>
      <c r="H257" s="9">
        <v>77</v>
      </c>
      <c r="I257" s="10" t="s">
        <v>1055</v>
      </c>
      <c r="J257" s="10" t="s">
        <v>1056</v>
      </c>
      <c r="K257" s="10" t="s">
        <v>1064</v>
      </c>
    </row>
    <row r="258" spans="1:11" x14ac:dyDescent="0.3">
      <c r="A258" s="4" t="s">
        <v>1105</v>
      </c>
      <c r="B258" s="4" t="s">
        <v>1533</v>
      </c>
      <c r="C258" s="4" t="s">
        <v>1534</v>
      </c>
      <c r="D258" s="4" t="s">
        <v>1106</v>
      </c>
      <c r="E258" s="18">
        <v>3750000</v>
      </c>
      <c r="F258" s="5">
        <v>43769</v>
      </c>
      <c r="G258" s="6">
        <v>3.27</v>
      </c>
      <c r="H258" s="9">
        <v>77</v>
      </c>
      <c r="I258" s="10" t="s">
        <v>1055</v>
      </c>
      <c r="J258" s="10" t="s">
        <v>1056</v>
      </c>
      <c r="K258" s="10" t="s">
        <v>1064</v>
      </c>
    </row>
    <row r="259" spans="1:11" x14ac:dyDescent="0.3">
      <c r="A259" s="4" t="s">
        <v>1107</v>
      </c>
      <c r="B259" s="4" t="s">
        <v>1510</v>
      </c>
      <c r="C259" s="4" t="s">
        <v>653</v>
      </c>
      <c r="D259" s="4" t="s">
        <v>1106</v>
      </c>
      <c r="E259" s="18">
        <v>3750000</v>
      </c>
      <c r="F259" s="5">
        <v>43769</v>
      </c>
      <c r="G259" s="6">
        <v>3.27</v>
      </c>
      <c r="H259" s="9">
        <v>77</v>
      </c>
      <c r="I259" s="10" t="s">
        <v>1055</v>
      </c>
      <c r="J259" s="10" t="s">
        <v>1056</v>
      </c>
      <c r="K259" s="10" t="s">
        <v>1064</v>
      </c>
    </row>
    <row r="260" spans="1:11" x14ac:dyDescent="0.3">
      <c r="A260" s="4" t="s">
        <v>462</v>
      </c>
      <c r="B260" s="4" t="s">
        <v>1530</v>
      </c>
      <c r="C260" s="4" t="s">
        <v>463</v>
      </c>
      <c r="D260" s="4" t="s">
        <v>464</v>
      </c>
      <c r="E260" s="18">
        <v>3775000</v>
      </c>
      <c r="F260" s="5">
        <v>42719</v>
      </c>
      <c r="G260" s="6">
        <v>4.12</v>
      </c>
      <c r="H260" s="9">
        <v>77</v>
      </c>
      <c r="I260" s="10" t="s">
        <v>1055</v>
      </c>
      <c r="J260" s="10" t="s">
        <v>1056</v>
      </c>
      <c r="K260" s="10" t="s">
        <v>1064</v>
      </c>
    </row>
    <row r="261" spans="1:11" x14ac:dyDescent="0.3">
      <c r="A261" s="27" t="s">
        <v>1306</v>
      </c>
      <c r="B261" s="27" t="s">
        <v>1446</v>
      </c>
      <c r="C261" s="27" t="s">
        <v>467</v>
      </c>
      <c r="D261" s="27" t="s">
        <v>1307</v>
      </c>
      <c r="E261" s="32">
        <v>6435000</v>
      </c>
      <c r="F261" s="28">
        <v>45777</v>
      </c>
      <c r="G261" s="29">
        <v>3.26</v>
      </c>
      <c r="H261" s="30" cm="1">
        <f t="array" ref="H261">_xlfn.IFS(I261="Founder / Owner",IF(ISNUMBER(SEARCH("owner",B261)),80,96),I261="C-Suite",IF(OR(ISNUMBER(SEARCH("ceo",B261)),ISNUMBER(SEARCH("chief executive",B261))),95,91),I261="Managing Director",86,I261="Partner",IF(OR(ISNUMBER(SEARCH("managing partner",B261)),ISNUMBER(SEARCH("general partner",B261))),88,85),I261="VP / Head",_xlfn.IFS(OR(ISNUMBER(SEARCH("vice president",B261)),ISNUMBER(SEARCH("executive vice",B261))),91,ISNUMBER(SEARCH("svp",B261)),77,TRUE,73),I261="Director",IF(ISNUMBER(SEARCH("principal",B261)),72,71),I261="Individual Contributor",32,OR(ISNUMBER(SEARCH("surgeon",B261)),ISNUMBER(SEARCH("physician",B261)),ISNUMBER(SEARCH("doctor",B261)),ISNUMBER(SEARCH("dentist",B261)),ISNUMBER(SEARCH("psychiat",B261)),ISNUMBER(SEARCH("oncolog",B261)),ISNUMBER(SEARCH("neurolog",B261)),ISNUMBER(SEARCH("patholog",B261)),ISNUMBER(SEARCH("medicine",B261)),ISNUMBER(SEARCH("obgyn",B261))),77,OR(ISNUMBER(SEARCH("portfolio manager",B261)),ISNUMBER(SEARCH("wealth advisor",B261))),81,OR(ISNUMBER(SEARCH("lawyer",B261)),ISNUMBER(SEARCH("attorney",B261))),68,ISNUMBER(SEARCH("counsel",B261)),66,ISNUMBER(SEARCH("professor",B261)),63,OR(ISNUMBER(SEARCH("engineer",B261)),ISNUMBER(SEARCH("consultant",B261))),62,ISNUMBER(SEARCH("senior manager",B261)),64,OR(ISNUMBER(SEARCH("realtor",B261)),ISNUMBER(SEARCH("broker",B261)),ISNUMBER(SEARCH("journalist",B261)),ISNUMBER(SEARCH("columnist",B261)),ISNUMBER(SEARCH("trader",B261)),ISNUMBER(SEARCH("actor",B261))),50,TRUE,60)</f>
        <v>77</v>
      </c>
      <c r="I261" s="31" t="str" cm="1">
        <f t="array" ref="I261">_xlfn.LET(_xlpm.p," "&amp;LOWER(SUBSTITUTE(SUBSTITUTE(SUBSTITUTE(B261,",","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61" s="31" t="str" cm="1">
        <f t="array" ref="J261">_xlfn.IFS(H261&gt;=90,"Very High",H261&gt;=80,"High",H261&gt;=56,"Medium",TRUE,"Low")</f>
        <v>Medium</v>
      </c>
      <c r="K261" s="31" t="str" cm="1">
        <f t="array" ref="K261">_xlfn.IFS(OR(ISNUMBER(SEARCH("hospital",C261)),ISNUMBER(SEARCH("health",C261)),ISNUMBER(SEARCH("medical",C261)),ISNUMBER(SEARCH("clinic",C261)),ISNUMBER(SEARCH("nursing",C261)),ISNUMBER(SEARCH("care cent",C261)),ISNUMBER(SEARCH("physician",B261)),ISNUMBER(SEARCH("doctor",B261)),ISNUMBER(SEARCH("dentist",B261)),ISNUMBER(SEARCH("surgeon",B261)),ISNUMBER(SEARCH("psychiat",B261)),ISNUMBER(SEARCH("medicine",B261))),"Healthcare",OR(ISNUMBER(SEARCH("llp",C261)),ISNUMBER(SEARCH("lawyer",B261)),ISNUMBER(SEARCH("attorney",B261)),ISNUMBER(SEARCH("legal",C261)),ISNUMBER(SEARCH("tetrault",C261)),ISNUMBER(SEARCH("morley",C261)),ISNUMBER(SEARCH("blg",C261)),ISNUMBER(SEARCH("lowy",C261)),ISNUMBER(SEARCH("riley",C261)),ISNUMBER(SEARCH("toomath",C261))),"Law",OR(ISNUMBER(SEARCH("reit",C261)),ISNUMBER(SEARCH("properties",C261)),ISNUMBER(SEARCH("realty",C261)),ISNUMBER(SEARCH("realtor",B261)),ISNUMBER(SEARCH("colliers",C261)),ISNUMBER(SEARCH("re/max",C261)),ISNUMBER(SEARCH("quadreal",C261)),ISNUMBER(SEARCH("vic management",C261))),"Real Estate",OR(ISNUMBER(SEARCH("deloitte",C261)),ISNUMBER(SEARCH("kpmg",C261)),ISNUMBER(SEARCH("pwc",C261)),ISNUMBER(SEARCH("consulting",C261)),ISNUMBER(SEARCH("consultant",B261)),ISNUMBER(SEARCH("advisory",C261)),ISNUMBER(SEARCH("philanthropic",C261)),ISNUMBER(SEARCH("argyle",C261)),ISNUMBER(SEARCH("quinn",C261))),"Consulting",OR(ISNUMBER(SEARCH("media",C261)),ISNUMBER(SEARCH("news",C261)),ISNUMBER(SEARCH("radio",C261)),ISNUMBER(SEARCH("film",C261)),ISNUMBER(SEARCH("journalist",B261)),ISNUMBER(SEARCH("columnist",B261)),ISNUMBER(SEARCH("globe",C261)),ISNUMBER(SEARCH("marketing",C261)),ISNUMBER(SEARCH("actor",B261))),"Media",OR(ISNUMBER(SEARCH("rbc",C261)),ISNUMBER(SEARCH("cibc",C261)),ISNUMBER(SEARCH("bmo",C261)),ISNUMBER(SEARCH("scotia",C261)),ISNUMBER(SEARCH("bank",C261)),ISNUMBER(SEARCH("capital",C261)),ISNUMBER(SEARCH("wealth",C261)),ISNUMBER(SEARCH("financial",C261)),ISNUMBER(SEARCH("securities",C261)),ISNUMBER(SEARCH("fidelity",C261)),ISNUMBER(SEARCH("guardian",C261)),ISNUMBER(SEARCH("wealthsimple",C261)),ISNUMBER(SEARCH("credit suisse",C261)),ISNUMBER(SEARCH("tmx",C261)),ISNUMBER(SEARCH("investors",C261)),ISNUMBER(SEARCH("trader",B261))),"Finance",OR(ISNUMBER(SEARCH("ventures",C261)),ISNUMBER(SEARCH("private equity",B261)),ISNUMBER(SEARCH("capital partners",C261))),"Private Equity / VC",OR(ISNUMBER(SEARCH("government",C261)),ISNUMBER(SEARCH("ministry",C261)),ISNUMBER(SEARCH("tribunal",C261)),ISNUMBER(SEARCH("tdsb",C261)),ISNUMBER(SEARCH("public service",C261))),"Government",OR(ISNUMBER(SEARCH("association",C261)),ISNUMBER(SEARCH("institute",C261)),ISNUMBER(SEARCH("foundation",C261))),"Nonprofit",OR(ISNUMBER(SEARCH("software",C261)),ISNUMBER(SEARCH("tech",C261)),ISNUMBER(SEARCH("systems",C261)),ISNUMBER(SEARCH("digital",C261)),ISNUMBER(SEARCH("engineering",C261)),ISNUMBER(SEARCH("solutions",C261))),"Technology",TRUE,"Other")</f>
        <v>Healthcare</v>
      </c>
    </row>
    <row r="262" spans="1:11" x14ac:dyDescent="0.3">
      <c r="A262" s="4" t="s">
        <v>947</v>
      </c>
      <c r="B262" s="4" t="s">
        <v>948</v>
      </c>
      <c r="C262" s="4" t="s">
        <v>949</v>
      </c>
      <c r="D262" s="4" t="s">
        <v>950</v>
      </c>
      <c r="E262" s="20" t="s">
        <v>1280</v>
      </c>
      <c r="F262" s="5">
        <v>29829</v>
      </c>
      <c r="G262" s="6">
        <v>4.13</v>
      </c>
      <c r="H262" s="9">
        <v>77</v>
      </c>
      <c r="I262" s="10" t="s">
        <v>1055</v>
      </c>
      <c r="J262" s="10" t="s">
        <v>1056</v>
      </c>
      <c r="K262" s="10" t="s">
        <v>1064</v>
      </c>
    </row>
    <row r="263" spans="1:11" x14ac:dyDescent="0.3">
      <c r="A263" s="4" t="s">
        <v>1222</v>
      </c>
      <c r="B263" s="4" t="s">
        <v>1539</v>
      </c>
      <c r="C263" s="4" t="s">
        <v>949</v>
      </c>
      <c r="D263" s="4" t="s">
        <v>1223</v>
      </c>
      <c r="E263" s="20" t="s">
        <v>1280</v>
      </c>
      <c r="F263" s="5">
        <v>44600</v>
      </c>
      <c r="G263" s="3">
        <v>3.4</v>
      </c>
      <c r="H263" s="9">
        <v>77</v>
      </c>
      <c r="I263" s="10" t="s">
        <v>1055</v>
      </c>
      <c r="J263" s="10" t="s">
        <v>1056</v>
      </c>
      <c r="K263" s="10" t="s">
        <v>1064</v>
      </c>
    </row>
    <row r="264" spans="1:11" x14ac:dyDescent="0.3">
      <c r="A264" s="7" t="s">
        <v>1227</v>
      </c>
      <c r="B264" s="7" t="s">
        <v>1228</v>
      </c>
      <c r="C264" s="7" t="s">
        <v>467</v>
      </c>
      <c r="D264" s="7" t="s">
        <v>1229</v>
      </c>
      <c r="E264" s="20" t="s">
        <v>1280</v>
      </c>
      <c r="F264" s="34">
        <v>45456</v>
      </c>
      <c r="G264" s="3">
        <v>3.44</v>
      </c>
      <c r="H264" s="9">
        <v>77</v>
      </c>
      <c r="I264" s="10" t="s">
        <v>1055</v>
      </c>
      <c r="J264" s="10" t="s">
        <v>1056</v>
      </c>
      <c r="K264" s="10" t="s">
        <v>1064</v>
      </c>
    </row>
    <row r="265" spans="1:11" x14ac:dyDescent="0.3">
      <c r="A265" s="4" t="s">
        <v>870</v>
      </c>
      <c r="B265" s="4" t="s">
        <v>389</v>
      </c>
      <c r="C265" s="4" t="s">
        <v>871</v>
      </c>
      <c r="D265" s="4" t="s">
        <v>872</v>
      </c>
      <c r="E265" s="18">
        <v>1425000</v>
      </c>
      <c r="F265" s="5">
        <v>40603</v>
      </c>
      <c r="G265" s="6">
        <v>3.66</v>
      </c>
      <c r="H265" s="9">
        <v>76</v>
      </c>
      <c r="I265" s="10" t="s">
        <v>1055</v>
      </c>
      <c r="J265" s="10" t="s">
        <v>1056</v>
      </c>
      <c r="K265" s="10" t="s">
        <v>1064</v>
      </c>
    </row>
    <row r="266" spans="1:11" x14ac:dyDescent="0.3">
      <c r="A266" s="4" t="s">
        <v>752</v>
      </c>
      <c r="B266" s="4" t="s">
        <v>389</v>
      </c>
      <c r="C266" s="4" t="s">
        <v>753</v>
      </c>
      <c r="D266" s="4" t="s">
        <v>754</v>
      </c>
      <c r="E266" s="18">
        <v>2025000</v>
      </c>
      <c r="F266" s="5">
        <v>40738</v>
      </c>
      <c r="G266" s="6">
        <v>3.67</v>
      </c>
      <c r="H266" s="9">
        <v>76</v>
      </c>
      <c r="I266" s="10" t="s">
        <v>1055</v>
      </c>
      <c r="J266" s="10" t="s">
        <v>1056</v>
      </c>
      <c r="K266" s="10" t="s">
        <v>1064</v>
      </c>
    </row>
    <row r="267" spans="1:11" x14ac:dyDescent="0.3">
      <c r="A267" s="4" t="s">
        <v>690</v>
      </c>
      <c r="B267" s="4" t="s">
        <v>389</v>
      </c>
      <c r="C267" s="4" t="s">
        <v>1518</v>
      </c>
      <c r="D267" s="4" t="s">
        <v>691</v>
      </c>
      <c r="E267" s="18">
        <v>2328000</v>
      </c>
      <c r="F267" s="5">
        <v>44440</v>
      </c>
      <c r="G267" s="6">
        <v>4.2300000000000004</v>
      </c>
      <c r="H267" s="9">
        <v>76</v>
      </c>
      <c r="I267" s="10" t="s">
        <v>1055</v>
      </c>
      <c r="J267" s="10" t="s">
        <v>1056</v>
      </c>
      <c r="K267" s="10" t="s">
        <v>1064</v>
      </c>
    </row>
    <row r="268" spans="1:11" x14ac:dyDescent="0.3">
      <c r="A268" s="4" t="s">
        <v>556</v>
      </c>
      <c r="B268" s="4" t="s">
        <v>389</v>
      </c>
      <c r="C268" s="4" t="s">
        <v>1484</v>
      </c>
      <c r="D268" s="4" t="s">
        <v>555</v>
      </c>
      <c r="E268" s="18">
        <v>3050000</v>
      </c>
      <c r="F268" s="5">
        <v>45806</v>
      </c>
      <c r="G268" s="6">
        <v>3.84</v>
      </c>
      <c r="H268" s="9">
        <v>76</v>
      </c>
      <c r="I268" s="10" t="s">
        <v>1055</v>
      </c>
      <c r="J268" s="10" t="s">
        <v>1056</v>
      </c>
      <c r="K268" s="10" t="s">
        <v>1064</v>
      </c>
    </row>
    <row r="269" spans="1:11" x14ac:dyDescent="0.3">
      <c r="A269" s="4" t="s">
        <v>511</v>
      </c>
      <c r="B269" s="4" t="s">
        <v>512</v>
      </c>
      <c r="C269" s="4" t="s">
        <v>513</v>
      </c>
      <c r="D269" s="4" t="s">
        <v>514</v>
      </c>
      <c r="E269" s="18">
        <v>3350000</v>
      </c>
      <c r="F269" s="5">
        <v>45769</v>
      </c>
      <c r="G269" s="6">
        <v>3.71</v>
      </c>
      <c r="H269" s="9">
        <v>76</v>
      </c>
      <c r="I269" s="10" t="s">
        <v>1063</v>
      </c>
      <c r="J269" s="10" t="s">
        <v>1056</v>
      </c>
      <c r="K269" s="10" t="s">
        <v>1062</v>
      </c>
    </row>
    <row r="270" spans="1:11" x14ac:dyDescent="0.3">
      <c r="A270" s="4" t="s">
        <v>388</v>
      </c>
      <c r="B270" s="4" t="s">
        <v>389</v>
      </c>
      <c r="C270" s="4" t="s">
        <v>390</v>
      </c>
      <c r="D270" s="4" t="s">
        <v>391</v>
      </c>
      <c r="E270" s="16">
        <v>4725000</v>
      </c>
      <c r="F270" s="5">
        <v>43010</v>
      </c>
      <c r="G270" s="6">
        <v>3.89</v>
      </c>
      <c r="H270" s="9">
        <v>76</v>
      </c>
      <c r="I270" s="10" t="s">
        <v>1055</v>
      </c>
      <c r="J270" s="10" t="s">
        <v>1056</v>
      </c>
      <c r="K270" s="10" t="s">
        <v>1064</v>
      </c>
    </row>
    <row r="271" spans="1:11" x14ac:dyDescent="0.3">
      <c r="A271" s="4" t="s">
        <v>100</v>
      </c>
      <c r="B271" s="4" t="s">
        <v>101</v>
      </c>
      <c r="C271" s="4" t="s">
        <v>102</v>
      </c>
      <c r="D271" s="4" t="s">
        <v>103</v>
      </c>
      <c r="E271" s="18">
        <v>330200</v>
      </c>
      <c r="F271" s="5">
        <v>36314</v>
      </c>
      <c r="G271" s="6">
        <v>2.9359999999999999</v>
      </c>
      <c r="H271" s="9">
        <v>73</v>
      </c>
      <c r="I271" s="10" t="s">
        <v>1055</v>
      </c>
      <c r="J271" s="10" t="s">
        <v>1056</v>
      </c>
      <c r="K271" s="10" t="s">
        <v>1064</v>
      </c>
    </row>
    <row r="272" spans="1:11" x14ac:dyDescent="0.3">
      <c r="A272" s="4" t="s">
        <v>97</v>
      </c>
      <c r="B272" s="4" t="s">
        <v>98</v>
      </c>
      <c r="C272" s="4" t="s">
        <v>304</v>
      </c>
      <c r="D272" s="4" t="s">
        <v>99</v>
      </c>
      <c r="E272" s="18">
        <v>455000</v>
      </c>
      <c r="F272" s="5">
        <v>34306</v>
      </c>
      <c r="G272" s="6">
        <v>2.8410000000000002</v>
      </c>
      <c r="H272" s="9">
        <v>73</v>
      </c>
      <c r="I272" s="10" t="s">
        <v>1055</v>
      </c>
      <c r="J272" s="10" t="s">
        <v>1056</v>
      </c>
      <c r="K272" s="10" t="s">
        <v>1064</v>
      </c>
    </row>
    <row r="273" spans="1:11" x14ac:dyDescent="0.3">
      <c r="A273" s="4" t="s">
        <v>60</v>
      </c>
      <c r="B273" s="4" t="s">
        <v>61</v>
      </c>
      <c r="C273" s="4" t="s">
        <v>62</v>
      </c>
      <c r="D273" s="4" t="s">
        <v>13</v>
      </c>
      <c r="E273" s="18">
        <v>1395000</v>
      </c>
      <c r="F273" s="5">
        <v>42009</v>
      </c>
      <c r="G273" s="3">
        <v>4.657</v>
      </c>
      <c r="H273" s="9">
        <v>73</v>
      </c>
      <c r="I273" s="10" t="s">
        <v>1063</v>
      </c>
      <c r="J273" s="10" t="s">
        <v>1056</v>
      </c>
      <c r="K273" s="10" t="s">
        <v>1051</v>
      </c>
    </row>
    <row r="274" spans="1:11" x14ac:dyDescent="0.3">
      <c r="A274" s="27" t="s">
        <v>1350</v>
      </c>
      <c r="B274" s="27" t="s">
        <v>1351</v>
      </c>
      <c r="C274" s="27" t="s">
        <v>650</v>
      </c>
      <c r="D274" s="27" t="s">
        <v>1343</v>
      </c>
      <c r="E274" s="32">
        <v>1525000</v>
      </c>
      <c r="F274" s="28">
        <v>40777</v>
      </c>
      <c r="G274" s="29">
        <v>3.18</v>
      </c>
      <c r="H274" s="30" cm="1">
        <f t="array" ref="H274">_xlfn.IFS(I274="Founder / Owner",IF(ISNUMBER(SEARCH("owner",B274)),80,96),I274="C-Suite",IF(OR(ISNUMBER(SEARCH("ceo",B274)),ISNUMBER(SEARCH("chief executive",B274))),95,91),I274="Managing Director",86,I274="Partner",IF(OR(ISNUMBER(SEARCH("managing partner",B274)),ISNUMBER(SEARCH("general partner",B274))),88,85),I274="VP / Head",_xlfn.IFS(OR(ISNUMBER(SEARCH("vice president",B274)),ISNUMBER(SEARCH("executive vice",B274))),91,ISNUMBER(SEARCH("svp",B274)),77,TRUE,73),I274="Director",IF(ISNUMBER(SEARCH("principal",B274)),72,71),I274="Individual Contributor",32,OR(ISNUMBER(SEARCH("surgeon",B274)),ISNUMBER(SEARCH("physician",B274)),ISNUMBER(SEARCH("doctor",B274)),ISNUMBER(SEARCH("dentist",B274)),ISNUMBER(SEARCH("psychiat",B274)),ISNUMBER(SEARCH("oncolog",B274)),ISNUMBER(SEARCH("neurolog",B274)),ISNUMBER(SEARCH("patholog",B274)),ISNUMBER(SEARCH("medicine",B274)),ISNUMBER(SEARCH("obgyn",B274))),77,OR(ISNUMBER(SEARCH("portfolio manager",B274)),ISNUMBER(SEARCH("wealth advisor",B274))),81,OR(ISNUMBER(SEARCH("lawyer",B274)),ISNUMBER(SEARCH("attorney",B274))),68,ISNUMBER(SEARCH("counsel",B274)),66,ISNUMBER(SEARCH("professor",B274)),63,OR(ISNUMBER(SEARCH("engineer",B274)),ISNUMBER(SEARCH("consultant",B274))),62,ISNUMBER(SEARCH("senior manager",B274)),64,OR(ISNUMBER(SEARCH("realtor",B274)),ISNUMBER(SEARCH("broker",B274)),ISNUMBER(SEARCH("journalist",B274)),ISNUMBER(SEARCH("columnist",B274)),ISNUMBER(SEARCH("trader",B274)),ISNUMBER(SEARCH("actor",B274))),50,TRUE,60)</f>
        <v>73</v>
      </c>
      <c r="I274" s="31" t="str" cm="1">
        <f t="array" ref="I274">_xlfn.LET(_xlpm.p," "&amp;LOWER(SUBSTITUTE(SUBSTITUTE(SUBSTITUTE(B274,",","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74" s="31" t="str" cm="1">
        <f t="array" ref="J274">_xlfn.IFS(H274&gt;=90,"Very High",H274&gt;=80,"High",H274&gt;=56,"Medium",TRUE,"Low")</f>
        <v>Medium</v>
      </c>
      <c r="K274" s="31" t="str" cm="1">
        <f t="array" ref="K274">_xlfn.IFS(OR(ISNUMBER(SEARCH("hospital",C274)),ISNUMBER(SEARCH("health",C274)),ISNUMBER(SEARCH("medical",C274)),ISNUMBER(SEARCH("clinic",C274)),ISNUMBER(SEARCH("nursing",C274)),ISNUMBER(SEARCH("care cent",C274)),ISNUMBER(SEARCH("physician",B274)),ISNUMBER(SEARCH("doctor",B274)),ISNUMBER(SEARCH("dentist",B274)),ISNUMBER(SEARCH("surgeon",B274)),ISNUMBER(SEARCH("psychiat",B274)),ISNUMBER(SEARCH("medicine",B274))),"Healthcare",OR(ISNUMBER(SEARCH("llp",C274)),ISNUMBER(SEARCH("lawyer",B274)),ISNUMBER(SEARCH("attorney",B274)),ISNUMBER(SEARCH("legal",C274)),ISNUMBER(SEARCH("tetrault",C274)),ISNUMBER(SEARCH("morley",C274)),ISNUMBER(SEARCH("blg",C274)),ISNUMBER(SEARCH("lowy",C274)),ISNUMBER(SEARCH("riley",C274)),ISNUMBER(SEARCH("toomath",C274))),"Law",OR(ISNUMBER(SEARCH("reit",C274)),ISNUMBER(SEARCH("properties",C274)),ISNUMBER(SEARCH("realty",C274)),ISNUMBER(SEARCH("realtor",B274)),ISNUMBER(SEARCH("colliers",C274)),ISNUMBER(SEARCH("re/max",C274)),ISNUMBER(SEARCH("quadreal",C274)),ISNUMBER(SEARCH("vic management",C274))),"Real Estate",OR(ISNUMBER(SEARCH("deloitte",C274)),ISNUMBER(SEARCH("kpmg",C274)),ISNUMBER(SEARCH("pwc",C274)),ISNUMBER(SEARCH("consulting",C274)),ISNUMBER(SEARCH("consultant",B274)),ISNUMBER(SEARCH("advisory",C274)),ISNUMBER(SEARCH("philanthropic",C274)),ISNUMBER(SEARCH("argyle",C274)),ISNUMBER(SEARCH("quinn",C274))),"Consulting",OR(ISNUMBER(SEARCH("media",C274)),ISNUMBER(SEARCH("news",C274)),ISNUMBER(SEARCH("radio",C274)),ISNUMBER(SEARCH("film",C274)),ISNUMBER(SEARCH("journalist",B274)),ISNUMBER(SEARCH("columnist",B274)),ISNUMBER(SEARCH("globe",C274)),ISNUMBER(SEARCH("marketing",C274)),ISNUMBER(SEARCH("actor",B274))),"Media",OR(ISNUMBER(SEARCH("rbc",C274)),ISNUMBER(SEARCH("cibc",C274)),ISNUMBER(SEARCH("bmo",C274)),ISNUMBER(SEARCH("scotia",C274)),ISNUMBER(SEARCH("bank",C274)),ISNUMBER(SEARCH("capital",C274)),ISNUMBER(SEARCH("wealth",C274)),ISNUMBER(SEARCH("financial",C274)),ISNUMBER(SEARCH("securities",C274)),ISNUMBER(SEARCH("fidelity",C274)),ISNUMBER(SEARCH("guardian",C274)),ISNUMBER(SEARCH("wealthsimple",C274)),ISNUMBER(SEARCH("credit suisse",C274)),ISNUMBER(SEARCH("tmx",C274)),ISNUMBER(SEARCH("investors",C274)),ISNUMBER(SEARCH("trader",B274))),"Finance",OR(ISNUMBER(SEARCH("ventures",C274)),ISNUMBER(SEARCH("private equity",B274)),ISNUMBER(SEARCH("capital partners",C274))),"Private Equity / VC",OR(ISNUMBER(SEARCH("government",C274)),ISNUMBER(SEARCH("ministry",C274)),ISNUMBER(SEARCH("tribunal",C274)),ISNUMBER(SEARCH("tdsb",C274)),ISNUMBER(SEARCH("public service",C274))),"Government",OR(ISNUMBER(SEARCH("association",C274)),ISNUMBER(SEARCH("institute",C274)),ISNUMBER(SEARCH("foundation",C274))),"Nonprofit",OR(ISNUMBER(SEARCH("software",C274)),ISNUMBER(SEARCH("tech",C274)),ISNUMBER(SEARCH("systems",C274)),ISNUMBER(SEARCH("digital",C274)),ISNUMBER(SEARCH("engineering",C274)),ISNUMBER(SEARCH("solutions",C274))),"Technology",TRUE,"Other")</f>
        <v>Finance</v>
      </c>
    </row>
    <row r="275" spans="1:11" x14ac:dyDescent="0.3">
      <c r="A275" s="4" t="s">
        <v>199</v>
      </c>
      <c r="B275" s="4" t="s">
        <v>290</v>
      </c>
      <c r="C275" s="4" t="s">
        <v>707</v>
      </c>
      <c r="D275" s="4" t="s">
        <v>200</v>
      </c>
      <c r="E275" s="18">
        <v>1550000</v>
      </c>
      <c r="F275" s="5">
        <v>45204</v>
      </c>
      <c r="G275" s="6">
        <v>4.7480000000000002</v>
      </c>
      <c r="H275" s="9">
        <v>73</v>
      </c>
      <c r="I275" s="10" t="s">
        <v>1055</v>
      </c>
      <c r="J275" s="10" t="s">
        <v>1056</v>
      </c>
      <c r="K275" s="10" t="s">
        <v>1064</v>
      </c>
    </row>
    <row r="276" spans="1:11" x14ac:dyDescent="0.3">
      <c r="A276" s="4" t="s">
        <v>775</v>
      </c>
      <c r="B276" s="4" t="s">
        <v>776</v>
      </c>
      <c r="C276" s="4" t="s">
        <v>294</v>
      </c>
      <c r="D276" s="4" t="s">
        <v>777</v>
      </c>
      <c r="E276" s="18">
        <v>1900000</v>
      </c>
      <c r="F276" s="5">
        <v>42891</v>
      </c>
      <c r="G276" s="6">
        <v>3.8</v>
      </c>
      <c r="H276" s="9">
        <v>73</v>
      </c>
      <c r="I276" s="10" t="s">
        <v>1063</v>
      </c>
      <c r="J276" s="10" t="s">
        <v>1056</v>
      </c>
      <c r="K276" s="10" t="s">
        <v>1054</v>
      </c>
    </row>
    <row r="277" spans="1:11" x14ac:dyDescent="0.3">
      <c r="A277" s="4" t="s">
        <v>254</v>
      </c>
      <c r="B277" s="4" t="s">
        <v>255</v>
      </c>
      <c r="C277" s="4" t="s">
        <v>297</v>
      </c>
      <c r="D277" s="4" t="s">
        <v>167</v>
      </c>
      <c r="E277" s="18">
        <v>2120000</v>
      </c>
      <c r="F277" s="5">
        <v>44890</v>
      </c>
      <c r="G277" s="6">
        <v>4.5819999999999999</v>
      </c>
      <c r="H277" s="9">
        <v>73</v>
      </c>
      <c r="I277" s="10" t="s">
        <v>1055</v>
      </c>
      <c r="J277" s="10" t="s">
        <v>1056</v>
      </c>
      <c r="K277" s="10" t="s">
        <v>1064</v>
      </c>
    </row>
    <row r="278" spans="1:11" x14ac:dyDescent="0.3">
      <c r="A278" s="4" t="s">
        <v>714</v>
      </c>
      <c r="B278" s="4" t="s">
        <v>1506</v>
      </c>
      <c r="C278" s="4" t="s">
        <v>1507</v>
      </c>
      <c r="D278" s="4" t="s">
        <v>715</v>
      </c>
      <c r="E278" s="18">
        <v>2265000</v>
      </c>
      <c r="F278" s="5">
        <v>44602</v>
      </c>
      <c r="G278" s="6">
        <v>3.94</v>
      </c>
      <c r="H278" s="9">
        <v>73</v>
      </c>
      <c r="I278" s="10" t="s">
        <v>1055</v>
      </c>
      <c r="J278" s="10" t="s">
        <v>1056</v>
      </c>
      <c r="K278" s="10" t="s">
        <v>1064</v>
      </c>
    </row>
    <row r="279" spans="1:11" x14ac:dyDescent="0.3">
      <c r="A279" s="11" t="s">
        <v>701</v>
      </c>
      <c r="B279" s="11" t="s">
        <v>702</v>
      </c>
      <c r="C279" s="11" t="s">
        <v>703</v>
      </c>
      <c r="D279" s="11" t="s">
        <v>704</v>
      </c>
      <c r="E279" s="17">
        <v>2295000</v>
      </c>
      <c r="F279" s="33">
        <v>39192</v>
      </c>
      <c r="G279" s="12">
        <v>4.0999999999999996</v>
      </c>
      <c r="H279" s="9">
        <v>73</v>
      </c>
      <c r="I279" s="10" t="s">
        <v>1063</v>
      </c>
      <c r="J279" s="10" t="s">
        <v>1056</v>
      </c>
      <c r="K279" s="10" t="s">
        <v>1054</v>
      </c>
    </row>
    <row r="280" spans="1:11" x14ac:dyDescent="0.3">
      <c r="A280" s="4" t="s">
        <v>699</v>
      </c>
      <c r="B280" s="4" t="s">
        <v>1506</v>
      </c>
      <c r="C280" s="4" t="s">
        <v>1070</v>
      </c>
      <c r="D280" s="4" t="s">
        <v>700</v>
      </c>
      <c r="E280" s="18">
        <v>2299000</v>
      </c>
      <c r="F280" s="5">
        <v>42104</v>
      </c>
      <c r="G280" s="6">
        <v>3.74</v>
      </c>
      <c r="H280" s="9">
        <v>73</v>
      </c>
      <c r="I280" s="10" t="s">
        <v>1055</v>
      </c>
      <c r="J280" s="10" t="s">
        <v>1056</v>
      </c>
      <c r="K280" s="10" t="s">
        <v>1064</v>
      </c>
    </row>
    <row r="281" spans="1:11" x14ac:dyDescent="0.3">
      <c r="A281" s="4" t="s">
        <v>278</v>
      </c>
      <c r="B281" s="4" t="s">
        <v>255</v>
      </c>
      <c r="C281" s="4" t="s">
        <v>279</v>
      </c>
      <c r="D281" s="4" t="s">
        <v>280</v>
      </c>
      <c r="E281" s="18">
        <v>2300000</v>
      </c>
      <c r="F281" s="5">
        <v>44253</v>
      </c>
      <c r="G281" s="6">
        <v>4.6459999999999999</v>
      </c>
      <c r="H281" s="9">
        <v>73</v>
      </c>
      <c r="I281" s="10" t="s">
        <v>1055</v>
      </c>
      <c r="J281" s="10" t="s">
        <v>1056</v>
      </c>
      <c r="K281" s="10" t="s">
        <v>1064</v>
      </c>
    </row>
    <row r="282" spans="1:11" x14ac:dyDescent="0.3">
      <c r="A282" s="4" t="s">
        <v>668</v>
      </c>
      <c r="B282" s="4" t="s">
        <v>290</v>
      </c>
      <c r="C282" s="4" t="s">
        <v>471</v>
      </c>
      <c r="D282" s="4" t="s">
        <v>669</v>
      </c>
      <c r="E282" s="18">
        <v>2385000</v>
      </c>
      <c r="F282" s="5">
        <v>45420</v>
      </c>
      <c r="G282" s="6">
        <v>3.99</v>
      </c>
      <c r="H282" s="9">
        <v>73</v>
      </c>
      <c r="I282" s="10" t="s">
        <v>1055</v>
      </c>
      <c r="J282" s="10" t="s">
        <v>1056</v>
      </c>
      <c r="K282" s="10" t="s">
        <v>1064</v>
      </c>
    </row>
    <row r="283" spans="1:11" x14ac:dyDescent="0.3">
      <c r="A283" s="27" t="s">
        <v>1363</v>
      </c>
      <c r="B283" s="27" t="s">
        <v>1309</v>
      </c>
      <c r="C283" s="27" t="s">
        <v>1521</v>
      </c>
      <c r="D283" s="27" t="s">
        <v>1364</v>
      </c>
      <c r="E283" s="32">
        <v>2402000</v>
      </c>
      <c r="F283" s="28">
        <v>42578</v>
      </c>
      <c r="G283" s="29">
        <v>3</v>
      </c>
      <c r="H283" s="30" cm="1">
        <f t="array" ref="H283">_xlfn.IFS(I283="Founder / Owner",IF(ISNUMBER(SEARCH("owner",B283)),80,96),I283="C-Suite",IF(OR(ISNUMBER(SEARCH("ceo",B283)),ISNUMBER(SEARCH("chief executive",B283))),95,91),I283="Managing Director",86,I283="Partner",IF(OR(ISNUMBER(SEARCH("managing partner",B283)),ISNUMBER(SEARCH("general partner",B283))),88,85),I283="VP / Head",_xlfn.IFS(OR(ISNUMBER(SEARCH("vice president",B283)),ISNUMBER(SEARCH("executive vice",B283))),91,ISNUMBER(SEARCH("svp",B283)),77,TRUE,73),I283="Director",IF(ISNUMBER(SEARCH("principal",B283)),72,71),I283="Individual Contributor",32,OR(ISNUMBER(SEARCH("surgeon",B283)),ISNUMBER(SEARCH("physician",B283)),ISNUMBER(SEARCH("doctor",B283)),ISNUMBER(SEARCH("dentist",B283)),ISNUMBER(SEARCH("psychiat",B283)),ISNUMBER(SEARCH("oncolog",B283)),ISNUMBER(SEARCH("neurolog",B283)),ISNUMBER(SEARCH("patholog",B283)),ISNUMBER(SEARCH("medicine",B283)),ISNUMBER(SEARCH("obgyn",B283))),77,OR(ISNUMBER(SEARCH("portfolio manager",B283)),ISNUMBER(SEARCH("wealth advisor",B283))),81,OR(ISNUMBER(SEARCH("lawyer",B283)),ISNUMBER(SEARCH("attorney",B283))),68,ISNUMBER(SEARCH("counsel",B283)),66,ISNUMBER(SEARCH("professor",B283)),63,OR(ISNUMBER(SEARCH("engineer",B283)),ISNUMBER(SEARCH("consultant",B283))),62,ISNUMBER(SEARCH("senior manager",B283)),64,OR(ISNUMBER(SEARCH("realtor",B283)),ISNUMBER(SEARCH("broker",B283)),ISNUMBER(SEARCH("journalist",B283)),ISNUMBER(SEARCH("columnist",B283)),ISNUMBER(SEARCH("trader",B283)),ISNUMBER(SEARCH("actor",B283))),50,TRUE,60)</f>
        <v>73</v>
      </c>
      <c r="I283" s="31" t="str" cm="1">
        <f t="array" ref="I283">_xlfn.LET(_xlpm.p," "&amp;LOWER(SUBSTITUTE(SUBSTITUTE(SUBSTITUTE(B283,",","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83" s="31" t="str" cm="1">
        <f t="array" ref="J283">_xlfn.IFS(H283&gt;=90,"Very High",H283&gt;=80,"High",H283&gt;=56,"Medium",TRUE,"Low")</f>
        <v>Medium</v>
      </c>
      <c r="K283" s="31" t="str" cm="1">
        <f t="array" ref="K283">_xlfn.IFS(OR(ISNUMBER(SEARCH("hospital",C283)),ISNUMBER(SEARCH("health",C283)),ISNUMBER(SEARCH("medical",C283)),ISNUMBER(SEARCH("clinic",C283)),ISNUMBER(SEARCH("nursing",C283)),ISNUMBER(SEARCH("care cent",C283)),ISNUMBER(SEARCH("physician",B283)),ISNUMBER(SEARCH("doctor",B283)),ISNUMBER(SEARCH("dentist",B283)),ISNUMBER(SEARCH("surgeon",B283)),ISNUMBER(SEARCH("psychiat",B283)),ISNUMBER(SEARCH("medicine",B283))),"Healthcare",OR(ISNUMBER(SEARCH("llp",C283)),ISNUMBER(SEARCH("lawyer",B283)),ISNUMBER(SEARCH("attorney",B283)),ISNUMBER(SEARCH("legal",C283)),ISNUMBER(SEARCH("tetrault",C283)),ISNUMBER(SEARCH("morley",C283)),ISNUMBER(SEARCH("blg",C283)),ISNUMBER(SEARCH("lowy",C283)),ISNUMBER(SEARCH("riley",C283)),ISNUMBER(SEARCH("toomath",C283))),"Law",OR(ISNUMBER(SEARCH("reit",C283)),ISNUMBER(SEARCH("properties",C283)),ISNUMBER(SEARCH("realty",C283)),ISNUMBER(SEARCH("realtor",B283)),ISNUMBER(SEARCH("colliers",C283)),ISNUMBER(SEARCH("re/max",C283)),ISNUMBER(SEARCH("quadreal",C283)),ISNUMBER(SEARCH("vic management",C283))),"Real Estate",OR(ISNUMBER(SEARCH("deloitte",C283)),ISNUMBER(SEARCH("kpmg",C283)),ISNUMBER(SEARCH("pwc",C283)),ISNUMBER(SEARCH("consulting",C283)),ISNUMBER(SEARCH("consultant",B283)),ISNUMBER(SEARCH("advisory",C283)),ISNUMBER(SEARCH("philanthropic",C283)),ISNUMBER(SEARCH("argyle",C283)),ISNUMBER(SEARCH("quinn",C283))),"Consulting",OR(ISNUMBER(SEARCH("media",C283)),ISNUMBER(SEARCH("news",C283)),ISNUMBER(SEARCH("radio",C283)),ISNUMBER(SEARCH("film",C283)),ISNUMBER(SEARCH("journalist",B283)),ISNUMBER(SEARCH("columnist",B283)),ISNUMBER(SEARCH("globe",C283)),ISNUMBER(SEARCH("marketing",C283)),ISNUMBER(SEARCH("actor",B283))),"Media",OR(ISNUMBER(SEARCH("rbc",C283)),ISNUMBER(SEARCH("cibc",C283)),ISNUMBER(SEARCH("bmo",C283)),ISNUMBER(SEARCH("scotia",C283)),ISNUMBER(SEARCH("bank",C283)),ISNUMBER(SEARCH("capital",C283)),ISNUMBER(SEARCH("wealth",C283)),ISNUMBER(SEARCH("financial",C283)),ISNUMBER(SEARCH("securities",C283)),ISNUMBER(SEARCH("fidelity",C283)),ISNUMBER(SEARCH("guardian",C283)),ISNUMBER(SEARCH("wealthsimple",C283)),ISNUMBER(SEARCH("credit suisse",C283)),ISNUMBER(SEARCH("tmx",C283)),ISNUMBER(SEARCH("investors",C283)),ISNUMBER(SEARCH("trader",B283))),"Finance",OR(ISNUMBER(SEARCH("ventures",C283)),ISNUMBER(SEARCH("private equity",B283)),ISNUMBER(SEARCH("capital partners",C283))),"Private Equity / VC",OR(ISNUMBER(SEARCH("government",C283)),ISNUMBER(SEARCH("ministry",C283)),ISNUMBER(SEARCH("tribunal",C283)),ISNUMBER(SEARCH("tdsb",C283)),ISNUMBER(SEARCH("public service",C283))),"Government",OR(ISNUMBER(SEARCH("association",C283)),ISNUMBER(SEARCH("institute",C283)),ISNUMBER(SEARCH("foundation",C283))),"Nonprofit",OR(ISNUMBER(SEARCH("software",C283)),ISNUMBER(SEARCH("tech",C283)),ISNUMBER(SEARCH("systems",C283)),ISNUMBER(SEARCH("digital",C283)),ISNUMBER(SEARCH("engineering",C283)),ISNUMBER(SEARCH("solutions",C283))),"Technology",TRUE,"Other")</f>
        <v>Finance</v>
      </c>
    </row>
    <row r="284" spans="1:11" x14ac:dyDescent="0.3">
      <c r="A284" s="4" t="s">
        <v>592</v>
      </c>
      <c r="B284" s="4" t="s">
        <v>593</v>
      </c>
      <c r="C284" s="4" t="s">
        <v>594</v>
      </c>
      <c r="D284" s="4" t="s">
        <v>595</v>
      </c>
      <c r="E284" s="18">
        <v>2750000</v>
      </c>
      <c r="F284" s="5">
        <v>43913</v>
      </c>
      <c r="G284" s="3">
        <v>4.25</v>
      </c>
      <c r="H284" s="9">
        <v>73</v>
      </c>
      <c r="I284" s="10" t="s">
        <v>1063</v>
      </c>
      <c r="J284" s="10" t="s">
        <v>1056</v>
      </c>
      <c r="K284" s="10" t="s">
        <v>1051</v>
      </c>
    </row>
    <row r="285" spans="1:11" x14ac:dyDescent="0.3">
      <c r="A285" s="11" t="s">
        <v>570</v>
      </c>
      <c r="B285" s="11" t="s">
        <v>290</v>
      </c>
      <c r="C285" s="11" t="s">
        <v>471</v>
      </c>
      <c r="D285" s="11" t="s">
        <v>569</v>
      </c>
      <c r="E285" s="17">
        <v>2975093</v>
      </c>
      <c r="F285" s="33">
        <v>44516</v>
      </c>
      <c r="G285" s="12">
        <v>4.12</v>
      </c>
      <c r="H285" s="9">
        <v>73</v>
      </c>
      <c r="I285" s="10" t="s">
        <v>1055</v>
      </c>
      <c r="J285" s="10" t="s">
        <v>1056</v>
      </c>
      <c r="K285" s="10" t="s">
        <v>1064</v>
      </c>
    </row>
    <row r="286" spans="1:11" x14ac:dyDescent="0.3">
      <c r="A286" s="11" t="s">
        <v>1124</v>
      </c>
      <c r="B286" s="11" t="s">
        <v>1125</v>
      </c>
      <c r="C286" s="11" t="s">
        <v>519</v>
      </c>
      <c r="D286" s="11" t="s">
        <v>1126</v>
      </c>
      <c r="E286" s="17">
        <v>3100000</v>
      </c>
      <c r="F286" s="33">
        <v>44722</v>
      </c>
      <c r="G286" s="12">
        <v>3.34</v>
      </c>
      <c r="H286" s="9">
        <v>73</v>
      </c>
      <c r="I286" s="10" t="s">
        <v>1055</v>
      </c>
      <c r="J286" s="10" t="s">
        <v>1056</v>
      </c>
      <c r="K286" s="10" t="s">
        <v>1064</v>
      </c>
    </row>
    <row r="287" spans="1:11" x14ac:dyDescent="0.3">
      <c r="A287" s="4" t="s">
        <v>545</v>
      </c>
      <c r="B287" s="4" t="s">
        <v>1501</v>
      </c>
      <c r="C287" s="4" t="s">
        <v>546</v>
      </c>
      <c r="D287" s="4" t="s">
        <v>547</v>
      </c>
      <c r="E287" s="18">
        <v>3100000</v>
      </c>
      <c r="F287" s="5">
        <v>43642</v>
      </c>
      <c r="G287" s="6">
        <v>4.0199999999999996</v>
      </c>
      <c r="H287" s="9">
        <v>73</v>
      </c>
      <c r="I287" s="10" t="s">
        <v>1055</v>
      </c>
      <c r="J287" s="10" t="s">
        <v>1056</v>
      </c>
      <c r="K287" s="10" t="s">
        <v>1064</v>
      </c>
    </row>
    <row r="288" spans="1:11" x14ac:dyDescent="0.3">
      <c r="A288" s="4" t="s">
        <v>508</v>
      </c>
      <c r="B288" s="4" t="s">
        <v>509</v>
      </c>
      <c r="C288" s="4" t="s">
        <v>1498</v>
      </c>
      <c r="D288" s="4" t="s">
        <v>510</v>
      </c>
      <c r="E288" s="18">
        <v>3425000</v>
      </c>
      <c r="F288" s="5">
        <v>40843</v>
      </c>
      <c r="G288" s="6">
        <v>3.95</v>
      </c>
      <c r="H288" s="9">
        <v>73</v>
      </c>
      <c r="I288" s="10" t="s">
        <v>1063</v>
      </c>
      <c r="J288" s="10" t="s">
        <v>1056</v>
      </c>
      <c r="K288" s="10" t="s">
        <v>1059</v>
      </c>
    </row>
    <row r="289" spans="1:11" x14ac:dyDescent="0.3">
      <c r="A289" s="4" t="s">
        <v>485</v>
      </c>
      <c r="B289" s="4" t="s">
        <v>486</v>
      </c>
      <c r="C289" s="4" t="s">
        <v>487</v>
      </c>
      <c r="D289" s="4" t="s">
        <v>488</v>
      </c>
      <c r="E289" s="18">
        <v>3620000</v>
      </c>
      <c r="F289" s="5">
        <v>43664</v>
      </c>
      <c r="G289" s="6">
        <v>3.93</v>
      </c>
      <c r="H289" s="9">
        <v>73</v>
      </c>
      <c r="I289" s="10" t="s">
        <v>1063</v>
      </c>
      <c r="J289" s="10" t="s">
        <v>1056</v>
      </c>
      <c r="K289" s="10" t="s">
        <v>1054</v>
      </c>
    </row>
    <row r="290" spans="1:11" x14ac:dyDescent="0.3">
      <c r="A290" s="4" t="s">
        <v>452</v>
      </c>
      <c r="B290" s="4" t="s">
        <v>453</v>
      </c>
      <c r="C290" s="4" t="s">
        <v>454</v>
      </c>
      <c r="D290" s="4" t="s">
        <v>455</v>
      </c>
      <c r="E290" s="18">
        <v>3850000</v>
      </c>
      <c r="F290" s="5">
        <v>44372</v>
      </c>
      <c r="G290" s="6">
        <v>3.91</v>
      </c>
      <c r="H290" s="9">
        <v>73</v>
      </c>
      <c r="I290" s="10" t="s">
        <v>1063</v>
      </c>
      <c r="J290" s="10" t="s">
        <v>1056</v>
      </c>
      <c r="K290" s="10" t="s">
        <v>1059</v>
      </c>
    </row>
    <row r="291" spans="1:11" x14ac:dyDescent="0.3">
      <c r="A291" s="4" t="s">
        <v>370</v>
      </c>
      <c r="B291" s="4" t="s">
        <v>371</v>
      </c>
      <c r="C291" s="4" t="s">
        <v>372</v>
      </c>
      <c r="D291" s="4" t="s">
        <v>373</v>
      </c>
      <c r="E291" s="16">
        <v>5200000</v>
      </c>
      <c r="F291" s="5">
        <v>44389</v>
      </c>
      <c r="G291" s="6">
        <v>3.69</v>
      </c>
      <c r="H291" s="9">
        <v>73</v>
      </c>
      <c r="I291" s="10" t="s">
        <v>1063</v>
      </c>
      <c r="J291" s="10" t="s">
        <v>1056</v>
      </c>
      <c r="K291" s="10" t="s">
        <v>1062</v>
      </c>
    </row>
    <row r="292" spans="1:11" x14ac:dyDescent="0.3">
      <c r="A292" s="11" t="s">
        <v>374</v>
      </c>
      <c r="B292" s="11" t="s">
        <v>375</v>
      </c>
      <c r="C292" s="13" t="s">
        <v>376</v>
      </c>
      <c r="D292" s="13" t="s">
        <v>373</v>
      </c>
      <c r="E292" s="17">
        <v>5200000</v>
      </c>
      <c r="F292" s="33">
        <v>44389</v>
      </c>
      <c r="G292" s="14">
        <v>3.69</v>
      </c>
      <c r="H292" s="9">
        <v>73</v>
      </c>
      <c r="I292" s="10" t="s">
        <v>1055</v>
      </c>
      <c r="J292" s="10" t="s">
        <v>1056</v>
      </c>
      <c r="K292" s="10" t="s">
        <v>1064</v>
      </c>
    </row>
    <row r="293" spans="1:11" x14ac:dyDescent="0.3">
      <c r="A293" s="27" t="s">
        <v>1331</v>
      </c>
      <c r="B293" s="27" t="s">
        <v>927</v>
      </c>
      <c r="C293" s="27" t="s">
        <v>1332</v>
      </c>
      <c r="D293" s="27" t="s">
        <v>1333</v>
      </c>
      <c r="E293" s="32" t="s">
        <v>1280</v>
      </c>
      <c r="F293" s="28">
        <v>30806</v>
      </c>
      <c r="G293" s="29">
        <v>3.23</v>
      </c>
      <c r="H293" s="30" cm="1">
        <f t="array" ref="H293">_xlfn.IFS(I293="Founder / Owner",IF(ISNUMBER(SEARCH("owner",B293)),80,96),I293="C-Suite",IF(OR(ISNUMBER(SEARCH("ceo",B293)),ISNUMBER(SEARCH("chief executive",B293))),95,91),I293="Managing Director",86,I293="Partner",IF(OR(ISNUMBER(SEARCH("managing partner",B293)),ISNUMBER(SEARCH("general partner",B293))),88,85),I293="VP / Head",_xlfn.IFS(OR(ISNUMBER(SEARCH("vice president",B293)),ISNUMBER(SEARCH("executive vice",B293))),91,ISNUMBER(SEARCH("svp",B293)),77,TRUE,73),I293="Director",IF(ISNUMBER(SEARCH("principal",B293)),72,71),I293="Individual Contributor",32,OR(ISNUMBER(SEARCH("surgeon",B293)),ISNUMBER(SEARCH("physician",B293)),ISNUMBER(SEARCH("doctor",B293)),ISNUMBER(SEARCH("dentist",B293)),ISNUMBER(SEARCH("psychiat",B293)),ISNUMBER(SEARCH("oncolog",B293)),ISNUMBER(SEARCH("neurolog",B293)),ISNUMBER(SEARCH("patholog",B293)),ISNUMBER(SEARCH("medicine",B293)),ISNUMBER(SEARCH("obgyn",B293))),77,OR(ISNUMBER(SEARCH("portfolio manager",B293)),ISNUMBER(SEARCH("wealth advisor",B293))),81,OR(ISNUMBER(SEARCH("lawyer",B293)),ISNUMBER(SEARCH("attorney",B293))),68,ISNUMBER(SEARCH("counsel",B293)),66,ISNUMBER(SEARCH("professor",B293)),63,OR(ISNUMBER(SEARCH("engineer",B293)),ISNUMBER(SEARCH("consultant",B293))),62,ISNUMBER(SEARCH("senior manager",B293)),64,OR(ISNUMBER(SEARCH("realtor",B293)),ISNUMBER(SEARCH("broker",B293)),ISNUMBER(SEARCH("journalist",B293)),ISNUMBER(SEARCH("columnist",B293)),ISNUMBER(SEARCH("trader",B293)),ISNUMBER(SEARCH("actor",B293))),50,TRUE,60)</f>
        <v>73</v>
      </c>
      <c r="I293" s="31" t="str" cm="1">
        <f t="array" ref="I293">_xlfn.LET(_xlpm.p," "&amp;LOWER(SUBSTITUTE(SUBSTITUTE(SUBSTITUTE(B293,",","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93" s="31" t="str" cm="1">
        <f t="array" ref="J293">_xlfn.IFS(H293&gt;=90,"Very High",H293&gt;=80,"High",H293&gt;=56,"Medium",TRUE,"Low")</f>
        <v>Medium</v>
      </c>
      <c r="K293" s="31" t="str" cm="1">
        <f t="array" ref="K293">_xlfn.IFS(OR(ISNUMBER(SEARCH("hospital",C293)),ISNUMBER(SEARCH("health",C293)),ISNUMBER(SEARCH("medical",C293)),ISNUMBER(SEARCH("clinic",C293)),ISNUMBER(SEARCH("nursing",C293)),ISNUMBER(SEARCH("care cent",C293)),ISNUMBER(SEARCH("physician",B293)),ISNUMBER(SEARCH("doctor",B293)),ISNUMBER(SEARCH("dentist",B293)),ISNUMBER(SEARCH("surgeon",B293)),ISNUMBER(SEARCH("psychiat",B293)),ISNUMBER(SEARCH("medicine",B293))),"Healthcare",OR(ISNUMBER(SEARCH("llp",C293)),ISNUMBER(SEARCH("lawyer",B293)),ISNUMBER(SEARCH("attorney",B293)),ISNUMBER(SEARCH("legal",C293)),ISNUMBER(SEARCH("tetrault",C293)),ISNUMBER(SEARCH("morley",C293)),ISNUMBER(SEARCH("blg",C293)),ISNUMBER(SEARCH("lowy",C293)),ISNUMBER(SEARCH("riley",C293)),ISNUMBER(SEARCH("toomath",C293))),"Law",OR(ISNUMBER(SEARCH("reit",C293)),ISNUMBER(SEARCH("properties",C293)),ISNUMBER(SEARCH("realty",C293)),ISNUMBER(SEARCH("realtor",B293)),ISNUMBER(SEARCH("colliers",C293)),ISNUMBER(SEARCH("re/max",C293)),ISNUMBER(SEARCH("quadreal",C293)),ISNUMBER(SEARCH("vic management",C293))),"Real Estate",OR(ISNUMBER(SEARCH("deloitte",C293)),ISNUMBER(SEARCH("kpmg",C293)),ISNUMBER(SEARCH("pwc",C293)),ISNUMBER(SEARCH("consulting",C293)),ISNUMBER(SEARCH("consultant",B293)),ISNUMBER(SEARCH("advisory",C293)),ISNUMBER(SEARCH("philanthropic",C293)),ISNUMBER(SEARCH("argyle",C293)),ISNUMBER(SEARCH("quinn",C293))),"Consulting",OR(ISNUMBER(SEARCH("media",C293)),ISNUMBER(SEARCH("news",C293)),ISNUMBER(SEARCH("radio",C293)),ISNUMBER(SEARCH("film",C293)),ISNUMBER(SEARCH("journalist",B293)),ISNUMBER(SEARCH("columnist",B293)),ISNUMBER(SEARCH("globe",C293)),ISNUMBER(SEARCH("marketing",C293)),ISNUMBER(SEARCH("actor",B293))),"Media",OR(ISNUMBER(SEARCH("rbc",C293)),ISNUMBER(SEARCH("cibc",C293)),ISNUMBER(SEARCH("bmo",C293)),ISNUMBER(SEARCH("scotia",C293)),ISNUMBER(SEARCH("bank",C293)),ISNUMBER(SEARCH("capital",C293)),ISNUMBER(SEARCH("wealth",C293)),ISNUMBER(SEARCH("financial",C293)),ISNUMBER(SEARCH("securities",C293)),ISNUMBER(SEARCH("fidelity",C293)),ISNUMBER(SEARCH("guardian",C293)),ISNUMBER(SEARCH("wealthsimple",C293)),ISNUMBER(SEARCH("credit suisse",C293)),ISNUMBER(SEARCH("tmx",C293)),ISNUMBER(SEARCH("investors",C293)),ISNUMBER(SEARCH("trader",B293))),"Finance",OR(ISNUMBER(SEARCH("ventures",C293)),ISNUMBER(SEARCH("private equity",B293)),ISNUMBER(SEARCH("capital partners",C293))),"Private Equity / VC",OR(ISNUMBER(SEARCH("government",C293)),ISNUMBER(SEARCH("ministry",C293)),ISNUMBER(SEARCH("tribunal",C293)),ISNUMBER(SEARCH("tdsb",C293)),ISNUMBER(SEARCH("public service",C293))),"Government",OR(ISNUMBER(SEARCH("association",C293)),ISNUMBER(SEARCH("institute",C293)),ISNUMBER(SEARCH("foundation",C293))),"Nonprofit",OR(ISNUMBER(SEARCH("software",C293)),ISNUMBER(SEARCH("tech",C293)),ISNUMBER(SEARCH("systems",C293)),ISNUMBER(SEARCH("digital",C293)),ISNUMBER(SEARCH("engineering",C293)),ISNUMBER(SEARCH("solutions",C293))),"Technology",TRUE,"Other")</f>
        <v>Government</v>
      </c>
    </row>
    <row r="294" spans="1:11" x14ac:dyDescent="0.3">
      <c r="A294" s="7" t="s">
        <v>37</v>
      </c>
      <c r="B294" s="7" t="s">
        <v>38</v>
      </c>
      <c r="C294" s="7" t="s">
        <v>39</v>
      </c>
      <c r="D294" s="7" t="s">
        <v>40</v>
      </c>
      <c r="E294" s="16">
        <v>998000</v>
      </c>
      <c r="F294" s="34">
        <v>41057</v>
      </c>
      <c r="G294" s="3">
        <v>2.911</v>
      </c>
      <c r="H294" s="9">
        <v>72</v>
      </c>
      <c r="I294" s="10" t="s">
        <v>124</v>
      </c>
      <c r="J294" s="10" t="s">
        <v>1056</v>
      </c>
      <c r="K294" s="10" t="s">
        <v>1059</v>
      </c>
    </row>
    <row r="295" spans="1:11" x14ac:dyDescent="0.3">
      <c r="A295" s="7" t="s">
        <v>29</v>
      </c>
      <c r="B295" s="7" t="s">
        <v>30</v>
      </c>
      <c r="C295" s="7" t="s">
        <v>31</v>
      </c>
      <c r="D295" s="7" t="s">
        <v>32</v>
      </c>
      <c r="E295" s="16">
        <v>1230000</v>
      </c>
      <c r="F295" s="34">
        <v>43452</v>
      </c>
      <c r="G295" s="3">
        <v>2.8690000000000002</v>
      </c>
      <c r="H295" s="9">
        <v>72</v>
      </c>
      <c r="I295" s="10" t="s">
        <v>1055</v>
      </c>
      <c r="J295" s="10" t="s">
        <v>1056</v>
      </c>
      <c r="K295" s="10" t="s">
        <v>1051</v>
      </c>
    </row>
    <row r="296" spans="1:11" x14ac:dyDescent="0.3">
      <c r="A296" s="4" t="s">
        <v>877</v>
      </c>
      <c r="B296" s="4" t="s">
        <v>38</v>
      </c>
      <c r="C296" s="4" t="s">
        <v>878</v>
      </c>
      <c r="D296" s="4" t="s">
        <v>879</v>
      </c>
      <c r="E296" s="18">
        <v>1365000</v>
      </c>
      <c r="F296" s="5">
        <v>39933</v>
      </c>
      <c r="G296" s="6">
        <v>3.97</v>
      </c>
      <c r="H296" s="9">
        <v>72</v>
      </c>
      <c r="I296" s="10" t="s">
        <v>124</v>
      </c>
      <c r="J296" s="10" t="s">
        <v>1056</v>
      </c>
      <c r="K296" s="10" t="s">
        <v>1054</v>
      </c>
    </row>
    <row r="297" spans="1:11" x14ac:dyDescent="0.3">
      <c r="A297" s="4" t="s">
        <v>186</v>
      </c>
      <c r="B297" s="4" t="s">
        <v>187</v>
      </c>
      <c r="C297" s="4" t="s">
        <v>1508</v>
      </c>
      <c r="D297" s="4" t="s">
        <v>188</v>
      </c>
      <c r="E297" s="18">
        <v>1569000</v>
      </c>
      <c r="F297" s="5">
        <v>41249</v>
      </c>
      <c r="G297" s="6">
        <v>4.6520000000000001</v>
      </c>
      <c r="H297" s="9">
        <v>72</v>
      </c>
      <c r="I297" s="10" t="s">
        <v>1063</v>
      </c>
      <c r="J297" s="10" t="s">
        <v>1056</v>
      </c>
      <c r="K297" s="10" t="s">
        <v>1067</v>
      </c>
    </row>
    <row r="298" spans="1:11" x14ac:dyDescent="0.3">
      <c r="A298" s="27" t="s">
        <v>1344</v>
      </c>
      <c r="B298" s="27" t="s">
        <v>38</v>
      </c>
      <c r="C298" s="27" t="s">
        <v>1463</v>
      </c>
      <c r="D298" s="27" t="s">
        <v>1345</v>
      </c>
      <c r="E298" s="32">
        <v>1600000</v>
      </c>
      <c r="F298" s="28">
        <v>42920</v>
      </c>
      <c r="G298" s="29">
        <v>3.14</v>
      </c>
      <c r="H298" s="30" cm="1">
        <f t="array" ref="H298">_xlfn.IFS(I298="Founder / Owner",IF(ISNUMBER(SEARCH("owner",B298)),80,96),I298="C-Suite",IF(OR(ISNUMBER(SEARCH("ceo",B298)),ISNUMBER(SEARCH("chief executive",B298))),95,91),I298="Managing Director",86,I298="Partner",IF(OR(ISNUMBER(SEARCH("managing partner",B298)),ISNUMBER(SEARCH("general partner",B298))),88,85),I298="VP / Head",_xlfn.IFS(OR(ISNUMBER(SEARCH("vice president",B298)),ISNUMBER(SEARCH("executive vice",B298))),91,ISNUMBER(SEARCH("svp",B298)),77,TRUE,73),I298="Director",IF(ISNUMBER(SEARCH("principal",B298)),72,71),I298="Individual Contributor",32,OR(ISNUMBER(SEARCH("surgeon",B298)),ISNUMBER(SEARCH("physician",B298)),ISNUMBER(SEARCH("doctor",B298)),ISNUMBER(SEARCH("dentist",B298)),ISNUMBER(SEARCH("psychiat",B298)),ISNUMBER(SEARCH("oncolog",B298)),ISNUMBER(SEARCH("neurolog",B298)),ISNUMBER(SEARCH("patholog",B298)),ISNUMBER(SEARCH("medicine",B298)),ISNUMBER(SEARCH("obgyn",B298))),77,OR(ISNUMBER(SEARCH("portfolio manager",B298)),ISNUMBER(SEARCH("wealth advisor",B298))),81,OR(ISNUMBER(SEARCH("lawyer",B298)),ISNUMBER(SEARCH("attorney",B298))),68,ISNUMBER(SEARCH("counsel",B298)),66,ISNUMBER(SEARCH("professor",B298)),63,OR(ISNUMBER(SEARCH("engineer",B298)),ISNUMBER(SEARCH("consultant",B298))),62,ISNUMBER(SEARCH("senior manager",B298)),64,OR(ISNUMBER(SEARCH("realtor",B298)),ISNUMBER(SEARCH("broker",B298)),ISNUMBER(SEARCH("journalist",B298)),ISNUMBER(SEARCH("columnist",B298)),ISNUMBER(SEARCH("trader",B298)),ISNUMBER(SEARCH("actor",B298))),50,TRUE,60)</f>
        <v>72</v>
      </c>
      <c r="I298" s="31" t="str" cm="1">
        <f t="array" ref="I298">_xlfn.LET(_xlpm.p," "&amp;LOWER(SUBSTITUTE(SUBSTITUTE(SUBSTITUTE(B298,",","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298" s="31" t="str" cm="1">
        <f t="array" ref="J298">_xlfn.IFS(H298&gt;=90,"Very High",H298&gt;=80,"High",H298&gt;=56,"Medium",TRUE,"Low")</f>
        <v>Medium</v>
      </c>
      <c r="K298" s="31" t="str" cm="1">
        <f t="array" ref="K298">_xlfn.IFS(OR(ISNUMBER(SEARCH("hospital",C298)),ISNUMBER(SEARCH("health",C298)),ISNUMBER(SEARCH("medical",C298)),ISNUMBER(SEARCH("clinic",C298)),ISNUMBER(SEARCH("nursing",C298)),ISNUMBER(SEARCH("care cent",C298)),ISNUMBER(SEARCH("physician",B298)),ISNUMBER(SEARCH("doctor",B298)),ISNUMBER(SEARCH("dentist",B298)),ISNUMBER(SEARCH("surgeon",B298)),ISNUMBER(SEARCH("psychiat",B298)),ISNUMBER(SEARCH("medicine",B298))),"Healthcare",OR(ISNUMBER(SEARCH("llp",C298)),ISNUMBER(SEARCH("lawyer",B298)),ISNUMBER(SEARCH("attorney",B298)),ISNUMBER(SEARCH("legal",C298)),ISNUMBER(SEARCH("tetrault",C298)),ISNUMBER(SEARCH("morley",C298)),ISNUMBER(SEARCH("blg",C298)),ISNUMBER(SEARCH("lowy",C298)),ISNUMBER(SEARCH("riley",C298)),ISNUMBER(SEARCH("toomath",C298))),"Law",OR(ISNUMBER(SEARCH("reit",C298)),ISNUMBER(SEARCH("properties",C298)),ISNUMBER(SEARCH("realty",C298)),ISNUMBER(SEARCH("realtor",B298)),ISNUMBER(SEARCH("colliers",C298)),ISNUMBER(SEARCH("re/max",C298)),ISNUMBER(SEARCH("quadreal",C298)),ISNUMBER(SEARCH("vic management",C298))),"Real Estate",OR(ISNUMBER(SEARCH("deloitte",C298)),ISNUMBER(SEARCH("kpmg",C298)),ISNUMBER(SEARCH("pwc",C298)),ISNUMBER(SEARCH("consulting",C298)),ISNUMBER(SEARCH("consultant",B298)),ISNUMBER(SEARCH("advisory",C298)),ISNUMBER(SEARCH("philanthropic",C298)),ISNUMBER(SEARCH("argyle",C298)),ISNUMBER(SEARCH("quinn",C298))),"Consulting",OR(ISNUMBER(SEARCH("media",C298)),ISNUMBER(SEARCH("news",C298)),ISNUMBER(SEARCH("radio",C298)),ISNUMBER(SEARCH("film",C298)),ISNUMBER(SEARCH("journalist",B298)),ISNUMBER(SEARCH("columnist",B298)),ISNUMBER(SEARCH("globe",C298)),ISNUMBER(SEARCH("marketing",C298)),ISNUMBER(SEARCH("actor",B298))),"Media",OR(ISNUMBER(SEARCH("rbc",C298)),ISNUMBER(SEARCH("cibc",C298)),ISNUMBER(SEARCH("bmo",C298)),ISNUMBER(SEARCH("scotia",C298)),ISNUMBER(SEARCH("bank",C298)),ISNUMBER(SEARCH("capital",C298)),ISNUMBER(SEARCH("wealth",C298)),ISNUMBER(SEARCH("financial",C298)),ISNUMBER(SEARCH("securities",C298)),ISNUMBER(SEARCH("fidelity",C298)),ISNUMBER(SEARCH("guardian",C298)),ISNUMBER(SEARCH("wealthsimple",C298)),ISNUMBER(SEARCH("credit suisse",C298)),ISNUMBER(SEARCH("tmx",C298)),ISNUMBER(SEARCH("investors",C298)),ISNUMBER(SEARCH("trader",B298))),"Finance",OR(ISNUMBER(SEARCH("ventures",C298)),ISNUMBER(SEARCH("private equity",B298)),ISNUMBER(SEARCH("capital partners",C298))),"Private Equity / VC",OR(ISNUMBER(SEARCH("government",C298)),ISNUMBER(SEARCH("ministry",C298)),ISNUMBER(SEARCH("tribunal",C298)),ISNUMBER(SEARCH("tdsb",C298)),ISNUMBER(SEARCH("public service",C298))),"Government",OR(ISNUMBER(SEARCH("association",C298)),ISNUMBER(SEARCH("institute",C298)),ISNUMBER(SEARCH("foundation",C298))),"Nonprofit",OR(ISNUMBER(SEARCH("software",C298)),ISNUMBER(SEARCH("tech",C298)),ISNUMBER(SEARCH("systems",C298)),ISNUMBER(SEARCH("digital",C298)),ISNUMBER(SEARCH("engineering",C298)),ISNUMBER(SEARCH("solutions",C298))),"Technology",TRUE,"Other")</f>
        <v>Consulting</v>
      </c>
    </row>
    <row r="299" spans="1:11" x14ac:dyDescent="0.3">
      <c r="A299" s="4" t="s">
        <v>831</v>
      </c>
      <c r="B299" s="4" t="s">
        <v>747</v>
      </c>
      <c r="C299" s="4" t="s">
        <v>832</v>
      </c>
      <c r="D299" s="4" t="s">
        <v>833</v>
      </c>
      <c r="E299" s="18">
        <v>1625000</v>
      </c>
      <c r="F299" s="5">
        <v>40968</v>
      </c>
      <c r="G299" s="6">
        <v>3.72</v>
      </c>
      <c r="H299" s="9">
        <v>72</v>
      </c>
      <c r="I299" s="10" t="s">
        <v>1063</v>
      </c>
      <c r="J299" s="10" t="s">
        <v>1056</v>
      </c>
      <c r="K299" s="10" t="s">
        <v>1051</v>
      </c>
    </row>
    <row r="300" spans="1:11" x14ac:dyDescent="0.3">
      <c r="A300" s="27" t="s">
        <v>1390</v>
      </c>
      <c r="B300" s="27" t="s">
        <v>38</v>
      </c>
      <c r="C300" s="27" t="s">
        <v>1391</v>
      </c>
      <c r="D300" s="27" t="s">
        <v>1392</v>
      </c>
      <c r="E300" s="32">
        <v>1704000</v>
      </c>
      <c r="F300" s="28">
        <v>40602</v>
      </c>
      <c r="G300" s="29">
        <v>3.27</v>
      </c>
      <c r="H300" s="30" cm="1">
        <f t="array" ref="H300">_xlfn.IFS(I300="Founder / Owner",IF(ISNUMBER(SEARCH("owner",B300)),80,96),I300="C-Suite",IF(OR(ISNUMBER(SEARCH("ceo",B300)),ISNUMBER(SEARCH("chief executive",B300))),95,91),I300="Managing Director",86,I300="Partner",IF(OR(ISNUMBER(SEARCH("managing partner",B300)),ISNUMBER(SEARCH("general partner",B300))),88,85),I300="VP / Head",_xlfn.IFS(OR(ISNUMBER(SEARCH("vice president",B300)),ISNUMBER(SEARCH("executive vice",B300))),91,ISNUMBER(SEARCH("svp",B300)),77,TRUE,73),I300="Director",IF(ISNUMBER(SEARCH("principal",B300)),72,71),I300="Individual Contributor",32,OR(ISNUMBER(SEARCH("surgeon",B300)),ISNUMBER(SEARCH("physician",B300)),ISNUMBER(SEARCH("doctor",B300)),ISNUMBER(SEARCH("dentist",B300)),ISNUMBER(SEARCH("psychiat",B300)),ISNUMBER(SEARCH("oncolog",B300)),ISNUMBER(SEARCH("neurolog",B300)),ISNUMBER(SEARCH("patholog",B300)),ISNUMBER(SEARCH("medicine",B300)),ISNUMBER(SEARCH("obgyn",B300))),77,OR(ISNUMBER(SEARCH("portfolio manager",B300)),ISNUMBER(SEARCH("wealth advisor",B300))),81,OR(ISNUMBER(SEARCH("lawyer",B300)),ISNUMBER(SEARCH("attorney",B300))),68,ISNUMBER(SEARCH("counsel",B300)),66,ISNUMBER(SEARCH("professor",B300)),63,OR(ISNUMBER(SEARCH("engineer",B300)),ISNUMBER(SEARCH("consultant",B300))),62,ISNUMBER(SEARCH("senior manager",B300)),64,OR(ISNUMBER(SEARCH("realtor",B300)),ISNUMBER(SEARCH("broker",B300)),ISNUMBER(SEARCH("journalist",B300)),ISNUMBER(SEARCH("columnist",B300)),ISNUMBER(SEARCH("trader",B300)),ISNUMBER(SEARCH("actor",B300))),50,TRUE,60)</f>
        <v>72</v>
      </c>
      <c r="I300" s="31" t="str" cm="1">
        <f t="array" ref="I300">_xlfn.LET(_xlpm.p," "&amp;LOWER(SUBSTITUTE(SUBSTITUTE(SUBSTITUTE(B300,",","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0" s="31" t="str" cm="1">
        <f t="array" ref="J300">_xlfn.IFS(H300&gt;=90,"Very High",H300&gt;=80,"High",H300&gt;=56,"Medium",TRUE,"Low")</f>
        <v>Medium</v>
      </c>
      <c r="K300" s="31" t="str" cm="1">
        <f t="array" ref="K300">_xlfn.IFS(OR(ISNUMBER(SEARCH("hospital",C300)),ISNUMBER(SEARCH("health",C300)),ISNUMBER(SEARCH("medical",C300)),ISNUMBER(SEARCH("clinic",C300)),ISNUMBER(SEARCH("nursing",C300)),ISNUMBER(SEARCH("care cent",C300)),ISNUMBER(SEARCH("physician",B300)),ISNUMBER(SEARCH("doctor",B300)),ISNUMBER(SEARCH("dentist",B300)),ISNUMBER(SEARCH("surgeon",B300)),ISNUMBER(SEARCH("psychiat",B300)),ISNUMBER(SEARCH("medicine",B300))),"Healthcare",OR(ISNUMBER(SEARCH("llp",C300)),ISNUMBER(SEARCH("lawyer",B300)),ISNUMBER(SEARCH("attorney",B300)),ISNUMBER(SEARCH("legal",C300)),ISNUMBER(SEARCH("tetrault",C300)),ISNUMBER(SEARCH("morley",C300)),ISNUMBER(SEARCH("blg",C300)),ISNUMBER(SEARCH("lowy",C300)),ISNUMBER(SEARCH("riley",C300)),ISNUMBER(SEARCH("toomath",C300))),"Law",OR(ISNUMBER(SEARCH("reit",C300)),ISNUMBER(SEARCH("properties",C300)),ISNUMBER(SEARCH("realty",C300)),ISNUMBER(SEARCH("realtor",B300)),ISNUMBER(SEARCH("colliers",C300)),ISNUMBER(SEARCH("re/max",C300)),ISNUMBER(SEARCH("quadreal",C300)),ISNUMBER(SEARCH("vic management",C300))),"Real Estate",OR(ISNUMBER(SEARCH("deloitte",C300)),ISNUMBER(SEARCH("kpmg",C300)),ISNUMBER(SEARCH("pwc",C300)),ISNUMBER(SEARCH("consulting",C300)),ISNUMBER(SEARCH("consultant",B300)),ISNUMBER(SEARCH("advisory",C300)),ISNUMBER(SEARCH("philanthropic",C300)),ISNUMBER(SEARCH("argyle",C300)),ISNUMBER(SEARCH("quinn",C300))),"Consulting",OR(ISNUMBER(SEARCH("media",C300)),ISNUMBER(SEARCH("news",C300)),ISNUMBER(SEARCH("radio",C300)),ISNUMBER(SEARCH("film",C300)),ISNUMBER(SEARCH("journalist",B300)),ISNUMBER(SEARCH("columnist",B300)),ISNUMBER(SEARCH("globe",C300)),ISNUMBER(SEARCH("marketing",C300)),ISNUMBER(SEARCH("actor",B300))),"Media",OR(ISNUMBER(SEARCH("rbc",C300)),ISNUMBER(SEARCH("cibc",C300)),ISNUMBER(SEARCH("bmo",C300)),ISNUMBER(SEARCH("scotia",C300)),ISNUMBER(SEARCH("bank",C300)),ISNUMBER(SEARCH("capital",C300)),ISNUMBER(SEARCH("wealth",C300)),ISNUMBER(SEARCH("financial",C300)),ISNUMBER(SEARCH("securities",C300)),ISNUMBER(SEARCH("fidelity",C300)),ISNUMBER(SEARCH("guardian",C300)),ISNUMBER(SEARCH("wealthsimple",C300)),ISNUMBER(SEARCH("credit suisse",C300)),ISNUMBER(SEARCH("tmx",C300)),ISNUMBER(SEARCH("investors",C300)),ISNUMBER(SEARCH("trader",B300))),"Finance",OR(ISNUMBER(SEARCH("ventures",C300)),ISNUMBER(SEARCH("private equity",B300)),ISNUMBER(SEARCH("capital partners",C300))),"Private Equity / VC",OR(ISNUMBER(SEARCH("government",C300)),ISNUMBER(SEARCH("ministry",C300)),ISNUMBER(SEARCH("tribunal",C300)),ISNUMBER(SEARCH("tdsb",C300)),ISNUMBER(SEARCH("public service",C300))),"Government",OR(ISNUMBER(SEARCH("association",C300)),ISNUMBER(SEARCH("institute",C300)),ISNUMBER(SEARCH("foundation",C300))),"Nonprofit",OR(ISNUMBER(SEARCH("software",C300)),ISNUMBER(SEARCH("tech",C300)),ISNUMBER(SEARCH("systems",C300)),ISNUMBER(SEARCH("digital",C300)),ISNUMBER(SEARCH("engineering",C300)),ISNUMBER(SEARCH("solutions",C300))),"Technology",TRUE,"Other")</f>
        <v>Technology</v>
      </c>
    </row>
    <row r="301" spans="1:11" x14ac:dyDescent="0.3">
      <c r="A301" s="11" t="s">
        <v>57</v>
      </c>
      <c r="B301" s="11" t="s">
        <v>58</v>
      </c>
      <c r="C301" s="11" t="s">
        <v>1502</v>
      </c>
      <c r="D301" s="11" t="s">
        <v>59</v>
      </c>
      <c r="E301" s="17">
        <v>1850000</v>
      </c>
      <c r="F301" s="33">
        <v>45531</v>
      </c>
      <c r="G301" s="12">
        <v>4.7060000000000004</v>
      </c>
      <c r="H301" s="9">
        <v>72</v>
      </c>
      <c r="I301" s="10" t="s">
        <v>1063</v>
      </c>
      <c r="J301" s="10" t="s">
        <v>1056</v>
      </c>
      <c r="K301" s="10" t="s">
        <v>1062</v>
      </c>
    </row>
    <row r="302" spans="1:11" x14ac:dyDescent="0.3">
      <c r="A302" s="4" t="s">
        <v>746</v>
      </c>
      <c r="B302" s="4" t="s">
        <v>747</v>
      </c>
      <c r="C302" s="4" t="s">
        <v>748</v>
      </c>
      <c r="D302" s="4" t="s">
        <v>749</v>
      </c>
      <c r="E302" s="18">
        <v>2050000</v>
      </c>
      <c r="F302" s="5">
        <v>45467</v>
      </c>
      <c r="G302" s="6">
        <v>4.21</v>
      </c>
      <c r="H302" s="9">
        <v>72</v>
      </c>
      <c r="I302" s="10" t="s">
        <v>1063</v>
      </c>
      <c r="J302" s="10" t="s">
        <v>1056</v>
      </c>
      <c r="K302" s="10" t="s">
        <v>1051</v>
      </c>
    </row>
    <row r="303" spans="1:11" x14ac:dyDescent="0.3">
      <c r="A303" s="4" t="s">
        <v>683</v>
      </c>
      <c r="B303" s="4" t="s">
        <v>684</v>
      </c>
      <c r="C303" s="4" t="s">
        <v>685</v>
      </c>
      <c r="D303" s="4" t="s">
        <v>682</v>
      </c>
      <c r="E303" s="18">
        <v>2350000</v>
      </c>
      <c r="F303" s="5">
        <v>42936</v>
      </c>
      <c r="G303" s="6">
        <v>4.22</v>
      </c>
      <c r="H303" s="9">
        <v>72</v>
      </c>
      <c r="I303" s="10" t="s">
        <v>1063</v>
      </c>
      <c r="J303" s="10" t="s">
        <v>1056</v>
      </c>
      <c r="K303" s="10" t="s">
        <v>1062</v>
      </c>
    </row>
    <row r="304" spans="1:11" x14ac:dyDescent="0.3">
      <c r="A304" s="4" t="s">
        <v>655</v>
      </c>
      <c r="B304" s="4" t="s">
        <v>38</v>
      </c>
      <c r="C304" s="4" t="s">
        <v>1499</v>
      </c>
      <c r="D304" s="4" t="s">
        <v>656</v>
      </c>
      <c r="E304" s="18">
        <v>2400000</v>
      </c>
      <c r="F304" s="5">
        <v>45134</v>
      </c>
      <c r="G304" s="6">
        <v>3.63</v>
      </c>
      <c r="H304" s="9">
        <v>72</v>
      </c>
      <c r="I304" s="10" t="s">
        <v>124</v>
      </c>
      <c r="J304" s="10" t="s">
        <v>1056</v>
      </c>
      <c r="K304" s="10" t="s">
        <v>1067</v>
      </c>
    </row>
    <row r="305" spans="1:11" x14ac:dyDescent="0.3">
      <c r="A305" s="4" t="s">
        <v>237</v>
      </c>
      <c r="B305" s="4" t="s">
        <v>238</v>
      </c>
      <c r="C305" s="4" t="s">
        <v>239</v>
      </c>
      <c r="D305" s="4" t="s">
        <v>240</v>
      </c>
      <c r="E305" s="18">
        <v>2550000</v>
      </c>
      <c r="F305" s="5">
        <v>45679</v>
      </c>
      <c r="G305" s="6">
        <v>4.6239999999999997</v>
      </c>
      <c r="H305" s="9">
        <v>72</v>
      </c>
      <c r="I305" s="10" t="s">
        <v>1063</v>
      </c>
      <c r="J305" s="10" t="s">
        <v>1056</v>
      </c>
      <c r="K305" s="10" t="s">
        <v>1051</v>
      </c>
    </row>
    <row r="306" spans="1:11" x14ac:dyDescent="0.3">
      <c r="A306" s="4" t="s">
        <v>524</v>
      </c>
      <c r="B306" s="4" t="s">
        <v>525</v>
      </c>
      <c r="C306" s="4" t="s">
        <v>526</v>
      </c>
      <c r="D306" s="4" t="s">
        <v>527</v>
      </c>
      <c r="E306" s="18">
        <v>3200000</v>
      </c>
      <c r="F306" s="5">
        <v>41830</v>
      </c>
      <c r="G306" s="6">
        <v>3.77</v>
      </c>
      <c r="H306" s="9">
        <v>72</v>
      </c>
      <c r="I306" s="10" t="s">
        <v>1063</v>
      </c>
      <c r="J306" s="10" t="s">
        <v>1056</v>
      </c>
      <c r="K306" s="10" t="s">
        <v>1051</v>
      </c>
    </row>
    <row r="307" spans="1:11" x14ac:dyDescent="0.3">
      <c r="A307" s="4" t="s">
        <v>515</v>
      </c>
      <c r="B307" s="4" t="s">
        <v>516</v>
      </c>
      <c r="C307" s="4" t="s">
        <v>517</v>
      </c>
      <c r="D307" s="4" t="s">
        <v>514</v>
      </c>
      <c r="E307" s="18">
        <v>3350000</v>
      </c>
      <c r="F307" s="5">
        <v>45769</v>
      </c>
      <c r="G307" s="6">
        <v>3.71</v>
      </c>
      <c r="H307" s="9">
        <v>72</v>
      </c>
      <c r="I307" s="10" t="s">
        <v>1063</v>
      </c>
      <c r="J307" s="10" t="s">
        <v>1056</v>
      </c>
      <c r="K307" s="10" t="s">
        <v>1062</v>
      </c>
    </row>
    <row r="308" spans="1:11" x14ac:dyDescent="0.3">
      <c r="A308" s="4" t="s">
        <v>450</v>
      </c>
      <c r="B308" s="4" t="s">
        <v>38</v>
      </c>
      <c r="C308" s="4" t="s">
        <v>451</v>
      </c>
      <c r="D308" s="4" t="s">
        <v>449</v>
      </c>
      <c r="E308" s="18">
        <v>3850000</v>
      </c>
      <c r="F308" s="5">
        <v>43987</v>
      </c>
      <c r="G308" s="6">
        <v>3.68</v>
      </c>
      <c r="H308" s="9">
        <v>72</v>
      </c>
      <c r="I308" s="10" t="s">
        <v>124</v>
      </c>
      <c r="J308" s="10" t="s">
        <v>1056</v>
      </c>
      <c r="K308" s="10" t="s">
        <v>1059</v>
      </c>
    </row>
    <row r="309" spans="1:11" x14ac:dyDescent="0.3">
      <c r="A309" s="4" t="s">
        <v>322</v>
      </c>
      <c r="B309" s="4" t="s">
        <v>38</v>
      </c>
      <c r="C309" s="4" t="s">
        <v>323</v>
      </c>
      <c r="D309" s="4" t="s">
        <v>321</v>
      </c>
      <c r="E309" s="16">
        <v>6490000</v>
      </c>
      <c r="F309" s="5">
        <v>43677</v>
      </c>
      <c r="G309" s="6">
        <v>3.98</v>
      </c>
      <c r="H309" s="9">
        <v>72</v>
      </c>
      <c r="I309" s="10" t="s">
        <v>124</v>
      </c>
      <c r="J309" s="10" t="s">
        <v>1056</v>
      </c>
      <c r="K309" s="10" t="s">
        <v>1051</v>
      </c>
    </row>
    <row r="310" spans="1:11" x14ac:dyDescent="0.3">
      <c r="A310" s="7" t="s">
        <v>1209</v>
      </c>
      <c r="B310" s="7" t="s">
        <v>1210</v>
      </c>
      <c r="C310" s="7" t="s">
        <v>1211</v>
      </c>
      <c r="D310" s="7" t="s">
        <v>1212</v>
      </c>
      <c r="E310" s="20" t="s">
        <v>1280</v>
      </c>
      <c r="F310" s="34">
        <v>41851</v>
      </c>
      <c r="G310" s="3">
        <v>3.39</v>
      </c>
      <c r="H310" s="9">
        <v>72</v>
      </c>
      <c r="I310" s="10" t="s">
        <v>1063</v>
      </c>
      <c r="J310" s="10" t="s">
        <v>1056</v>
      </c>
      <c r="K310" s="10" t="s">
        <v>1054</v>
      </c>
    </row>
    <row r="311" spans="1:11" x14ac:dyDescent="0.3">
      <c r="A311" s="7" t="s">
        <v>992</v>
      </c>
      <c r="B311" s="7" t="s">
        <v>747</v>
      </c>
      <c r="C311" s="7" t="s">
        <v>294</v>
      </c>
      <c r="D311" s="7" t="s">
        <v>955</v>
      </c>
      <c r="E311" s="20" t="s">
        <v>1280</v>
      </c>
      <c r="F311" s="34">
        <v>43357</v>
      </c>
      <c r="G311" s="3">
        <v>3.92</v>
      </c>
      <c r="H311" s="9">
        <v>72</v>
      </c>
      <c r="I311" s="10" t="s">
        <v>1063</v>
      </c>
      <c r="J311" s="10" t="s">
        <v>1056</v>
      </c>
      <c r="K311" s="10" t="s">
        <v>1054</v>
      </c>
    </row>
    <row r="312" spans="1:11" x14ac:dyDescent="0.3">
      <c r="A312" s="7" t="s">
        <v>1017</v>
      </c>
      <c r="B312" s="7" t="s">
        <v>1018</v>
      </c>
      <c r="C312" s="7" t="s">
        <v>1019</v>
      </c>
      <c r="D312" s="7" t="s">
        <v>1006</v>
      </c>
      <c r="E312" s="20" t="s">
        <v>1280</v>
      </c>
      <c r="F312" s="34">
        <v>45523</v>
      </c>
      <c r="G312" s="3">
        <v>4.01</v>
      </c>
      <c r="H312" s="9">
        <v>72</v>
      </c>
      <c r="I312" s="10" t="s">
        <v>124</v>
      </c>
      <c r="J312" s="10" t="s">
        <v>1056</v>
      </c>
      <c r="K312" s="10" t="s">
        <v>1065</v>
      </c>
    </row>
    <row r="313" spans="1:11" x14ac:dyDescent="0.3">
      <c r="A313" s="7" t="s">
        <v>89</v>
      </c>
      <c r="B313" s="7" t="s">
        <v>90</v>
      </c>
      <c r="C313" s="7" t="s">
        <v>91</v>
      </c>
      <c r="D313" s="7" t="s">
        <v>92</v>
      </c>
      <c r="E313" s="20" t="s">
        <v>1280</v>
      </c>
      <c r="F313" s="34">
        <v>44428</v>
      </c>
      <c r="G313" s="3">
        <v>2.911</v>
      </c>
      <c r="H313" s="9">
        <v>72</v>
      </c>
      <c r="I313" s="10" t="s">
        <v>124</v>
      </c>
      <c r="J313" s="10" t="s">
        <v>1056</v>
      </c>
      <c r="K313" s="10" t="s">
        <v>1051</v>
      </c>
    </row>
    <row r="314" spans="1:11" x14ac:dyDescent="0.3">
      <c r="A314" s="7" t="s">
        <v>259</v>
      </c>
      <c r="B314" s="7" t="s">
        <v>124</v>
      </c>
      <c r="C314" s="7" t="s">
        <v>260</v>
      </c>
      <c r="D314" s="7" t="s">
        <v>261</v>
      </c>
      <c r="E314" s="16">
        <v>399000</v>
      </c>
      <c r="F314" s="34">
        <v>33914</v>
      </c>
      <c r="G314" s="3">
        <v>4.8449999999999998</v>
      </c>
      <c r="H314" s="9">
        <v>71</v>
      </c>
      <c r="I314" s="10" t="s">
        <v>124</v>
      </c>
      <c r="J314" s="10" t="s">
        <v>1056</v>
      </c>
      <c r="K314" s="10" t="s">
        <v>1054</v>
      </c>
    </row>
    <row r="315" spans="1:11" x14ac:dyDescent="0.3">
      <c r="A315" s="11" t="s">
        <v>130</v>
      </c>
      <c r="B315" s="11" t="s">
        <v>124</v>
      </c>
      <c r="C315" s="11" t="s">
        <v>131</v>
      </c>
      <c r="D315" s="11" t="s">
        <v>132</v>
      </c>
      <c r="E315" s="17">
        <v>662000</v>
      </c>
      <c r="F315" s="33">
        <v>38044</v>
      </c>
      <c r="G315" s="12">
        <v>2.831</v>
      </c>
      <c r="H315" s="9">
        <v>71</v>
      </c>
      <c r="I315" s="10" t="s">
        <v>124</v>
      </c>
      <c r="J315" s="10" t="s">
        <v>1056</v>
      </c>
      <c r="K315" s="10" t="s">
        <v>1058</v>
      </c>
    </row>
    <row r="316" spans="1:11" x14ac:dyDescent="0.3">
      <c r="A316" s="11" t="s">
        <v>93</v>
      </c>
      <c r="B316" s="11" t="s">
        <v>94</v>
      </c>
      <c r="C316" s="11" t="s">
        <v>95</v>
      </c>
      <c r="D316" s="11" t="s">
        <v>96</v>
      </c>
      <c r="E316" s="17">
        <v>858000</v>
      </c>
      <c r="F316" s="33">
        <v>40792</v>
      </c>
      <c r="G316" s="12">
        <v>2.9209999999999998</v>
      </c>
      <c r="H316" s="9">
        <v>71</v>
      </c>
      <c r="I316" s="10" t="s">
        <v>124</v>
      </c>
      <c r="J316" s="10" t="s">
        <v>1056</v>
      </c>
      <c r="K316" s="10" t="s">
        <v>1064</v>
      </c>
    </row>
    <row r="317" spans="1:11" x14ac:dyDescent="0.3">
      <c r="A317" s="27" t="s">
        <v>1409</v>
      </c>
      <c r="B317" s="27" t="s">
        <v>124</v>
      </c>
      <c r="C317" s="27" t="s">
        <v>325</v>
      </c>
      <c r="D317" s="27" t="s">
        <v>1410</v>
      </c>
      <c r="E317" s="32">
        <v>1140000</v>
      </c>
      <c r="F317" s="28">
        <v>37994</v>
      </c>
      <c r="G317" s="29">
        <v>3.23</v>
      </c>
      <c r="H317" s="30" cm="1">
        <f t="array" ref="H317">_xlfn.IFS(I317="Founder / Owner",IF(ISNUMBER(SEARCH("owner",B317)),80,96),I317="C-Suite",IF(OR(ISNUMBER(SEARCH("ceo",B317)),ISNUMBER(SEARCH("chief executive",B317))),95,91),I317="Managing Director",86,I317="Partner",IF(OR(ISNUMBER(SEARCH("managing partner",B317)),ISNUMBER(SEARCH("general partner",B317))),88,85),I317="VP / Head",_xlfn.IFS(OR(ISNUMBER(SEARCH("vice president",B317)),ISNUMBER(SEARCH("executive vice",B317))),91,ISNUMBER(SEARCH("svp",B317)),77,TRUE,73),I317="Director",IF(ISNUMBER(SEARCH("principal",B317)),72,71),I317="Individual Contributor",32,OR(ISNUMBER(SEARCH("surgeon",B317)),ISNUMBER(SEARCH("physician",B317)),ISNUMBER(SEARCH("doctor",B317)),ISNUMBER(SEARCH("dentist",B317)),ISNUMBER(SEARCH("psychiat",B317)),ISNUMBER(SEARCH("oncolog",B317)),ISNUMBER(SEARCH("neurolog",B317)),ISNUMBER(SEARCH("patholog",B317)),ISNUMBER(SEARCH("medicine",B317)),ISNUMBER(SEARCH("obgyn",B317))),77,OR(ISNUMBER(SEARCH("portfolio manager",B317)),ISNUMBER(SEARCH("wealth advisor",B317))),81,OR(ISNUMBER(SEARCH("lawyer",B317)),ISNUMBER(SEARCH("attorney",B317))),68,ISNUMBER(SEARCH("counsel",B317)),66,ISNUMBER(SEARCH("professor",B317)),63,OR(ISNUMBER(SEARCH("engineer",B317)),ISNUMBER(SEARCH("consultant",B317))),62,ISNUMBER(SEARCH("senior manager",B317)),64,OR(ISNUMBER(SEARCH("realtor",B317)),ISNUMBER(SEARCH("broker",B317)),ISNUMBER(SEARCH("journalist",B317)),ISNUMBER(SEARCH("columnist",B317)),ISNUMBER(SEARCH("trader",B317)),ISNUMBER(SEARCH("actor",B317))),50,TRUE,60)</f>
        <v>71</v>
      </c>
      <c r="I317" s="31" t="str" cm="1">
        <f t="array" ref="I317">_xlfn.LET(_xlpm.p," "&amp;LOWER(SUBSTITUTE(SUBSTITUTE(SUBSTITUTE(B317,",","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7" s="31" t="str" cm="1">
        <f t="array" ref="J317">_xlfn.IFS(H317&gt;=90,"Very High",H317&gt;=80,"High",H317&gt;=56,"Medium",TRUE,"Low")</f>
        <v>Medium</v>
      </c>
      <c r="K317" s="31" t="str" cm="1">
        <f t="array" ref="K317">_xlfn.IFS(OR(ISNUMBER(SEARCH("hospital",C317)),ISNUMBER(SEARCH("health",C317)),ISNUMBER(SEARCH("medical",C317)),ISNUMBER(SEARCH("clinic",C317)),ISNUMBER(SEARCH("nursing",C317)),ISNUMBER(SEARCH("care cent",C317)),ISNUMBER(SEARCH("physician",B317)),ISNUMBER(SEARCH("doctor",B317)),ISNUMBER(SEARCH("dentist",B317)),ISNUMBER(SEARCH("surgeon",B317)),ISNUMBER(SEARCH("psychiat",B317)),ISNUMBER(SEARCH("medicine",B317))),"Healthcare",OR(ISNUMBER(SEARCH("llp",C317)),ISNUMBER(SEARCH("lawyer",B317)),ISNUMBER(SEARCH("attorney",B317)),ISNUMBER(SEARCH("legal",C317)),ISNUMBER(SEARCH("tetrault",C317)),ISNUMBER(SEARCH("morley",C317)),ISNUMBER(SEARCH("blg",C317)),ISNUMBER(SEARCH("lowy",C317)),ISNUMBER(SEARCH("riley",C317)),ISNUMBER(SEARCH("toomath",C317))),"Law",OR(ISNUMBER(SEARCH("reit",C317)),ISNUMBER(SEARCH("properties",C317)),ISNUMBER(SEARCH("realty",C317)),ISNUMBER(SEARCH("realtor",B317)),ISNUMBER(SEARCH("colliers",C317)),ISNUMBER(SEARCH("re/max",C317)),ISNUMBER(SEARCH("quadreal",C317)),ISNUMBER(SEARCH("vic management",C317))),"Real Estate",OR(ISNUMBER(SEARCH("deloitte",C317)),ISNUMBER(SEARCH("kpmg",C317)),ISNUMBER(SEARCH("pwc",C317)),ISNUMBER(SEARCH("consulting",C317)),ISNUMBER(SEARCH("consultant",B317)),ISNUMBER(SEARCH("advisory",C317)),ISNUMBER(SEARCH("philanthropic",C317)),ISNUMBER(SEARCH("argyle",C317)),ISNUMBER(SEARCH("quinn",C317))),"Consulting",OR(ISNUMBER(SEARCH("media",C317)),ISNUMBER(SEARCH("news",C317)),ISNUMBER(SEARCH("radio",C317)),ISNUMBER(SEARCH("film",C317)),ISNUMBER(SEARCH("journalist",B317)),ISNUMBER(SEARCH("columnist",B317)),ISNUMBER(SEARCH("globe",C317)),ISNUMBER(SEARCH("marketing",C317)),ISNUMBER(SEARCH("actor",B317))),"Media",OR(ISNUMBER(SEARCH("rbc",C317)),ISNUMBER(SEARCH("cibc",C317)),ISNUMBER(SEARCH("bmo",C317)),ISNUMBER(SEARCH("scotia",C317)),ISNUMBER(SEARCH("bank",C317)),ISNUMBER(SEARCH("capital",C317)),ISNUMBER(SEARCH("wealth",C317)),ISNUMBER(SEARCH("financial",C317)),ISNUMBER(SEARCH("securities",C317)),ISNUMBER(SEARCH("fidelity",C317)),ISNUMBER(SEARCH("guardian",C317)),ISNUMBER(SEARCH("wealthsimple",C317)),ISNUMBER(SEARCH("credit suisse",C317)),ISNUMBER(SEARCH("tmx",C317)),ISNUMBER(SEARCH("investors",C317)),ISNUMBER(SEARCH("trader",B317))),"Finance",OR(ISNUMBER(SEARCH("ventures",C317)),ISNUMBER(SEARCH("private equity",B317)),ISNUMBER(SEARCH("capital partners",C317))),"Private Equity / VC",OR(ISNUMBER(SEARCH("government",C317)),ISNUMBER(SEARCH("ministry",C317)),ISNUMBER(SEARCH("tribunal",C317)),ISNUMBER(SEARCH("tdsb",C317)),ISNUMBER(SEARCH("public service",C317))),"Government",OR(ISNUMBER(SEARCH("association",C317)),ISNUMBER(SEARCH("institute",C317)),ISNUMBER(SEARCH("foundation",C317))),"Nonprofit",OR(ISNUMBER(SEARCH("software",C317)),ISNUMBER(SEARCH("tech",C317)),ISNUMBER(SEARCH("systems",C317)),ISNUMBER(SEARCH("digital",C317)),ISNUMBER(SEARCH("engineering",C317)),ISNUMBER(SEARCH("solutions",C317))),"Technology",TRUE,"Other")</f>
        <v>Finance</v>
      </c>
    </row>
    <row r="318" spans="1:11" x14ac:dyDescent="0.3">
      <c r="A318" s="27" t="s">
        <v>1386</v>
      </c>
      <c r="B318" s="27" t="s">
        <v>1297</v>
      </c>
      <c r="C318" s="27" t="s">
        <v>294</v>
      </c>
      <c r="D318" s="27" t="s">
        <v>1365</v>
      </c>
      <c r="E318" s="32">
        <v>1275000</v>
      </c>
      <c r="F318" s="28">
        <v>42914</v>
      </c>
      <c r="G318" s="29">
        <v>3.24</v>
      </c>
      <c r="H318" s="30" cm="1">
        <f t="array" ref="H318">_xlfn.IFS(I318="Founder / Owner",IF(ISNUMBER(SEARCH("owner",B318)),80,96),I318="C-Suite",IF(OR(ISNUMBER(SEARCH("ceo",B318)),ISNUMBER(SEARCH("chief executive",B318))),95,91),I318="Managing Director",86,I318="Partner",IF(OR(ISNUMBER(SEARCH("managing partner",B318)),ISNUMBER(SEARCH("general partner",B318))),88,85),I318="VP / Head",_xlfn.IFS(OR(ISNUMBER(SEARCH("vice president",B318)),ISNUMBER(SEARCH("executive vice",B318))),91,ISNUMBER(SEARCH("svp",B318)),77,TRUE,73),I318="Director",IF(ISNUMBER(SEARCH("principal",B318)),72,71),I318="Individual Contributor",32,OR(ISNUMBER(SEARCH("surgeon",B318)),ISNUMBER(SEARCH("physician",B318)),ISNUMBER(SEARCH("doctor",B318)),ISNUMBER(SEARCH("dentist",B318)),ISNUMBER(SEARCH("psychiat",B318)),ISNUMBER(SEARCH("oncolog",B318)),ISNUMBER(SEARCH("neurolog",B318)),ISNUMBER(SEARCH("patholog",B318)),ISNUMBER(SEARCH("medicine",B318)),ISNUMBER(SEARCH("obgyn",B318))),77,OR(ISNUMBER(SEARCH("portfolio manager",B318)),ISNUMBER(SEARCH("wealth advisor",B318))),81,OR(ISNUMBER(SEARCH("lawyer",B318)),ISNUMBER(SEARCH("attorney",B318))),68,ISNUMBER(SEARCH("counsel",B318)),66,ISNUMBER(SEARCH("professor",B318)),63,OR(ISNUMBER(SEARCH("engineer",B318)),ISNUMBER(SEARCH("consultant",B318))),62,ISNUMBER(SEARCH("senior manager",B318)),64,OR(ISNUMBER(SEARCH("realtor",B318)),ISNUMBER(SEARCH("broker",B318)),ISNUMBER(SEARCH("journalist",B318)),ISNUMBER(SEARCH("columnist",B318)),ISNUMBER(SEARCH("trader",B318)),ISNUMBER(SEARCH("actor",B318))),50,TRUE,60)</f>
        <v>71</v>
      </c>
      <c r="I318" s="31" t="str" cm="1">
        <f t="array" ref="I318">_xlfn.LET(_xlpm.p," "&amp;LOWER(SUBSTITUTE(SUBSTITUTE(SUBSTITUTE(B318,",","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8" s="31" t="str" cm="1">
        <f t="array" ref="J318">_xlfn.IFS(H318&gt;=90,"Very High",H318&gt;=80,"High",H318&gt;=56,"Medium",TRUE,"Low")</f>
        <v>Medium</v>
      </c>
      <c r="K318" s="31" t="str" cm="1">
        <f t="array" ref="K318">_xlfn.IFS(OR(ISNUMBER(SEARCH("hospital",C318)),ISNUMBER(SEARCH("health",C318)),ISNUMBER(SEARCH("medical",C318)),ISNUMBER(SEARCH("clinic",C318)),ISNUMBER(SEARCH("nursing",C318)),ISNUMBER(SEARCH("care cent",C318)),ISNUMBER(SEARCH("physician",B318)),ISNUMBER(SEARCH("doctor",B318)),ISNUMBER(SEARCH("dentist",B318)),ISNUMBER(SEARCH("surgeon",B318)),ISNUMBER(SEARCH("psychiat",B318)),ISNUMBER(SEARCH("medicine",B318))),"Healthcare",OR(ISNUMBER(SEARCH("llp",C318)),ISNUMBER(SEARCH("lawyer",B318)),ISNUMBER(SEARCH("attorney",B318)),ISNUMBER(SEARCH("legal",C318)),ISNUMBER(SEARCH("tetrault",C318)),ISNUMBER(SEARCH("morley",C318)),ISNUMBER(SEARCH("blg",C318)),ISNUMBER(SEARCH("lowy",C318)),ISNUMBER(SEARCH("riley",C318)),ISNUMBER(SEARCH("toomath",C318))),"Law",OR(ISNUMBER(SEARCH("reit",C318)),ISNUMBER(SEARCH("properties",C318)),ISNUMBER(SEARCH("realty",C318)),ISNUMBER(SEARCH("realtor",B318)),ISNUMBER(SEARCH("colliers",C318)),ISNUMBER(SEARCH("re/max",C318)),ISNUMBER(SEARCH("quadreal",C318)),ISNUMBER(SEARCH("vic management",C318))),"Real Estate",OR(ISNUMBER(SEARCH("deloitte",C318)),ISNUMBER(SEARCH("kpmg",C318)),ISNUMBER(SEARCH("pwc",C318)),ISNUMBER(SEARCH("consulting",C318)),ISNUMBER(SEARCH("consultant",B318)),ISNUMBER(SEARCH("advisory",C318)),ISNUMBER(SEARCH("philanthropic",C318)),ISNUMBER(SEARCH("argyle",C318)),ISNUMBER(SEARCH("quinn",C318))),"Consulting",OR(ISNUMBER(SEARCH("media",C318)),ISNUMBER(SEARCH("news",C318)),ISNUMBER(SEARCH("radio",C318)),ISNUMBER(SEARCH("film",C318)),ISNUMBER(SEARCH("journalist",B318)),ISNUMBER(SEARCH("columnist",B318)),ISNUMBER(SEARCH("globe",C318)),ISNUMBER(SEARCH("marketing",C318)),ISNUMBER(SEARCH("actor",B318))),"Media",OR(ISNUMBER(SEARCH("rbc",C318)),ISNUMBER(SEARCH("cibc",C318)),ISNUMBER(SEARCH("bmo",C318)),ISNUMBER(SEARCH("scotia",C318)),ISNUMBER(SEARCH("bank",C318)),ISNUMBER(SEARCH("capital",C318)),ISNUMBER(SEARCH("wealth",C318)),ISNUMBER(SEARCH("financial",C318)),ISNUMBER(SEARCH("securities",C318)),ISNUMBER(SEARCH("fidelity",C318)),ISNUMBER(SEARCH("guardian",C318)),ISNUMBER(SEARCH("wealthsimple",C318)),ISNUMBER(SEARCH("credit suisse",C318)),ISNUMBER(SEARCH("tmx",C318)),ISNUMBER(SEARCH("investors",C318)),ISNUMBER(SEARCH("trader",B318))),"Finance",OR(ISNUMBER(SEARCH("ventures",C318)),ISNUMBER(SEARCH("private equity",B318)),ISNUMBER(SEARCH("capital partners",C318))),"Private Equity / VC",OR(ISNUMBER(SEARCH("government",C318)),ISNUMBER(SEARCH("ministry",C318)),ISNUMBER(SEARCH("tribunal",C318)),ISNUMBER(SEARCH("tdsb",C318)),ISNUMBER(SEARCH("public service",C318))),"Government",OR(ISNUMBER(SEARCH("association",C318)),ISNUMBER(SEARCH("institute",C318)),ISNUMBER(SEARCH("foundation",C318))),"Nonprofit",OR(ISNUMBER(SEARCH("software",C318)),ISNUMBER(SEARCH("tech",C318)),ISNUMBER(SEARCH("systems",C318)),ISNUMBER(SEARCH("digital",C318)),ISNUMBER(SEARCH("engineering",C318)),ISNUMBER(SEARCH("solutions",C318))),"Technology",TRUE,"Other")</f>
        <v>Finance</v>
      </c>
    </row>
    <row r="319" spans="1:11" x14ac:dyDescent="0.3">
      <c r="A319" s="4" t="s">
        <v>123</v>
      </c>
      <c r="B319" s="4" t="s">
        <v>124</v>
      </c>
      <c r="C319" s="4" t="s">
        <v>125</v>
      </c>
      <c r="D319" s="4" t="s">
        <v>80</v>
      </c>
      <c r="E319" s="18">
        <v>1285000</v>
      </c>
      <c r="F319" s="5">
        <v>44183</v>
      </c>
      <c r="G319" s="3">
        <v>4.625</v>
      </c>
      <c r="H319" s="9">
        <v>71</v>
      </c>
      <c r="I319" s="10" t="s">
        <v>124</v>
      </c>
      <c r="J319" s="10" t="s">
        <v>1056</v>
      </c>
      <c r="K319" s="10" t="s">
        <v>1051</v>
      </c>
    </row>
    <row r="320" spans="1:11" x14ac:dyDescent="0.3">
      <c r="A320" s="27" t="s">
        <v>1354</v>
      </c>
      <c r="B320" s="27" t="s">
        <v>124</v>
      </c>
      <c r="C320" s="27" t="s">
        <v>325</v>
      </c>
      <c r="D320" s="27" t="s">
        <v>1355</v>
      </c>
      <c r="E320" s="32">
        <v>1410000</v>
      </c>
      <c r="F320" s="28">
        <v>40340</v>
      </c>
      <c r="G320" s="29">
        <v>3.03</v>
      </c>
      <c r="H320" s="30" cm="1">
        <f t="array" ref="H320">_xlfn.IFS(I320="Founder / Owner",IF(ISNUMBER(SEARCH("owner",B320)),80,96),I320="C-Suite",IF(OR(ISNUMBER(SEARCH("ceo",B320)),ISNUMBER(SEARCH("chief executive",B320))),95,91),I320="Managing Director",86,I320="Partner",IF(OR(ISNUMBER(SEARCH("managing partner",B320)),ISNUMBER(SEARCH("general partner",B320))),88,85),I320="VP / Head",_xlfn.IFS(OR(ISNUMBER(SEARCH("vice president",B320)),ISNUMBER(SEARCH("executive vice",B320))),91,ISNUMBER(SEARCH("svp",B320)),77,TRUE,73),I320="Director",IF(ISNUMBER(SEARCH("principal",B320)),72,71),I320="Individual Contributor",32,OR(ISNUMBER(SEARCH("surgeon",B320)),ISNUMBER(SEARCH("physician",B320)),ISNUMBER(SEARCH("doctor",B320)),ISNUMBER(SEARCH("dentist",B320)),ISNUMBER(SEARCH("psychiat",B320)),ISNUMBER(SEARCH("oncolog",B320)),ISNUMBER(SEARCH("neurolog",B320)),ISNUMBER(SEARCH("patholog",B320)),ISNUMBER(SEARCH("medicine",B320)),ISNUMBER(SEARCH("obgyn",B320))),77,OR(ISNUMBER(SEARCH("portfolio manager",B320)),ISNUMBER(SEARCH("wealth advisor",B320))),81,OR(ISNUMBER(SEARCH("lawyer",B320)),ISNUMBER(SEARCH("attorney",B320))),68,ISNUMBER(SEARCH("counsel",B320)),66,ISNUMBER(SEARCH("professor",B320)),63,OR(ISNUMBER(SEARCH("engineer",B320)),ISNUMBER(SEARCH("consultant",B320))),62,ISNUMBER(SEARCH("senior manager",B320)),64,OR(ISNUMBER(SEARCH("realtor",B320)),ISNUMBER(SEARCH("broker",B320)),ISNUMBER(SEARCH("journalist",B320)),ISNUMBER(SEARCH("columnist",B320)),ISNUMBER(SEARCH("trader",B320)),ISNUMBER(SEARCH("actor",B320))),50,TRUE,60)</f>
        <v>71</v>
      </c>
      <c r="I320" s="31" t="str" cm="1">
        <f t="array" ref="I320">_xlfn.LET(_xlpm.p," "&amp;LOWER(SUBSTITUTE(SUBSTITUTE(SUBSTITUTE(B320,",","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0" s="31" t="str" cm="1">
        <f t="array" ref="J320">_xlfn.IFS(H320&gt;=90,"Very High",H320&gt;=80,"High",H320&gt;=56,"Medium",TRUE,"Low")</f>
        <v>Medium</v>
      </c>
      <c r="K320" s="31" t="str" cm="1">
        <f t="array" ref="K320">_xlfn.IFS(OR(ISNUMBER(SEARCH("hospital",C320)),ISNUMBER(SEARCH("health",C320)),ISNUMBER(SEARCH("medical",C320)),ISNUMBER(SEARCH("clinic",C320)),ISNUMBER(SEARCH("nursing",C320)),ISNUMBER(SEARCH("care cent",C320)),ISNUMBER(SEARCH("physician",B320)),ISNUMBER(SEARCH("doctor",B320)),ISNUMBER(SEARCH("dentist",B320)),ISNUMBER(SEARCH("surgeon",B320)),ISNUMBER(SEARCH("psychiat",B320)),ISNUMBER(SEARCH("medicine",B320))),"Healthcare",OR(ISNUMBER(SEARCH("llp",C320)),ISNUMBER(SEARCH("lawyer",B320)),ISNUMBER(SEARCH("attorney",B320)),ISNUMBER(SEARCH("legal",C320)),ISNUMBER(SEARCH("tetrault",C320)),ISNUMBER(SEARCH("morley",C320)),ISNUMBER(SEARCH("blg",C320)),ISNUMBER(SEARCH("lowy",C320)),ISNUMBER(SEARCH("riley",C320)),ISNUMBER(SEARCH("toomath",C320))),"Law",OR(ISNUMBER(SEARCH("reit",C320)),ISNUMBER(SEARCH("properties",C320)),ISNUMBER(SEARCH("realty",C320)),ISNUMBER(SEARCH("realtor",B320)),ISNUMBER(SEARCH("colliers",C320)),ISNUMBER(SEARCH("re/max",C320)),ISNUMBER(SEARCH("quadreal",C320)),ISNUMBER(SEARCH("vic management",C320))),"Real Estate",OR(ISNUMBER(SEARCH("deloitte",C320)),ISNUMBER(SEARCH("kpmg",C320)),ISNUMBER(SEARCH("pwc",C320)),ISNUMBER(SEARCH("consulting",C320)),ISNUMBER(SEARCH("consultant",B320)),ISNUMBER(SEARCH("advisory",C320)),ISNUMBER(SEARCH("philanthropic",C320)),ISNUMBER(SEARCH("argyle",C320)),ISNUMBER(SEARCH("quinn",C320))),"Consulting",OR(ISNUMBER(SEARCH("media",C320)),ISNUMBER(SEARCH("news",C320)),ISNUMBER(SEARCH("radio",C320)),ISNUMBER(SEARCH("film",C320)),ISNUMBER(SEARCH("journalist",B320)),ISNUMBER(SEARCH("columnist",B320)),ISNUMBER(SEARCH("globe",C320)),ISNUMBER(SEARCH("marketing",C320)),ISNUMBER(SEARCH("actor",B320))),"Media",OR(ISNUMBER(SEARCH("rbc",C320)),ISNUMBER(SEARCH("cibc",C320)),ISNUMBER(SEARCH("bmo",C320)),ISNUMBER(SEARCH("scotia",C320)),ISNUMBER(SEARCH("bank",C320)),ISNUMBER(SEARCH("capital",C320)),ISNUMBER(SEARCH("wealth",C320)),ISNUMBER(SEARCH("financial",C320)),ISNUMBER(SEARCH("securities",C320)),ISNUMBER(SEARCH("fidelity",C320)),ISNUMBER(SEARCH("guardian",C320)),ISNUMBER(SEARCH("wealthsimple",C320)),ISNUMBER(SEARCH("credit suisse",C320)),ISNUMBER(SEARCH("tmx",C320)),ISNUMBER(SEARCH("investors",C320)),ISNUMBER(SEARCH("trader",B320))),"Finance",OR(ISNUMBER(SEARCH("ventures",C320)),ISNUMBER(SEARCH("private equity",B320)),ISNUMBER(SEARCH("capital partners",C320))),"Private Equity / VC",OR(ISNUMBER(SEARCH("government",C320)),ISNUMBER(SEARCH("ministry",C320)),ISNUMBER(SEARCH("tribunal",C320)),ISNUMBER(SEARCH("tdsb",C320)),ISNUMBER(SEARCH("public service",C320))),"Government",OR(ISNUMBER(SEARCH("association",C320)),ISNUMBER(SEARCH("institute",C320)),ISNUMBER(SEARCH("foundation",C320))),"Nonprofit",OR(ISNUMBER(SEARCH("software",C320)),ISNUMBER(SEARCH("tech",C320)),ISNUMBER(SEARCH("systems",C320)),ISNUMBER(SEARCH("digital",C320)),ISNUMBER(SEARCH("engineering",C320)),ISNUMBER(SEARCH("solutions",C320))),"Technology",TRUE,"Other")</f>
        <v>Finance</v>
      </c>
    </row>
    <row r="321" spans="1:11" x14ac:dyDescent="0.3">
      <c r="A321" s="11" t="s">
        <v>1197</v>
      </c>
      <c r="B321" s="11" t="s">
        <v>1536</v>
      </c>
      <c r="C321" s="13" t="s">
        <v>997</v>
      </c>
      <c r="D321" s="13" t="s">
        <v>1198</v>
      </c>
      <c r="E321" s="17">
        <v>1500000</v>
      </c>
      <c r="F321" s="33">
        <v>42172</v>
      </c>
      <c r="G321" s="14">
        <v>3.37</v>
      </c>
      <c r="H321" s="9">
        <v>71</v>
      </c>
      <c r="I321" s="10" t="s">
        <v>124</v>
      </c>
      <c r="J321" s="10" t="s">
        <v>1056</v>
      </c>
      <c r="K321" s="10" t="s">
        <v>1062</v>
      </c>
    </row>
    <row r="322" spans="1:11" x14ac:dyDescent="0.3">
      <c r="A322" s="4" t="s">
        <v>227</v>
      </c>
      <c r="B322" s="4" t="s">
        <v>295</v>
      </c>
      <c r="C322" s="4" t="s">
        <v>294</v>
      </c>
      <c r="D322" s="4" t="s">
        <v>228</v>
      </c>
      <c r="E322" s="18">
        <v>1565000</v>
      </c>
      <c r="F322" s="5">
        <v>45168</v>
      </c>
      <c r="G322" s="6">
        <v>4.6950000000000003</v>
      </c>
      <c r="H322" s="9">
        <v>71</v>
      </c>
      <c r="I322" s="10" t="s">
        <v>124</v>
      </c>
      <c r="J322" s="10" t="s">
        <v>1056</v>
      </c>
      <c r="K322" s="10" t="s">
        <v>1054</v>
      </c>
    </row>
    <row r="323" spans="1:11" x14ac:dyDescent="0.3">
      <c r="A323" s="4" t="s">
        <v>852</v>
      </c>
      <c r="B323" s="4" t="s">
        <v>124</v>
      </c>
      <c r="C323" s="4" t="s">
        <v>853</v>
      </c>
      <c r="D323" s="4" t="s">
        <v>851</v>
      </c>
      <c r="E323" s="18">
        <v>1565000</v>
      </c>
      <c r="F323" s="5">
        <v>41789</v>
      </c>
      <c r="G323" s="6">
        <v>4.04</v>
      </c>
      <c r="H323" s="9">
        <v>71</v>
      </c>
      <c r="I323" s="10" t="s">
        <v>124</v>
      </c>
      <c r="J323" s="10" t="s">
        <v>1056</v>
      </c>
      <c r="K323" s="10" t="s">
        <v>1051</v>
      </c>
    </row>
    <row r="324" spans="1:11" x14ac:dyDescent="0.3">
      <c r="A324" s="27" t="s">
        <v>1384</v>
      </c>
      <c r="B324" s="27" t="s">
        <v>124</v>
      </c>
      <c r="C324" s="27" t="s">
        <v>1465</v>
      </c>
      <c r="D324" s="27" t="s">
        <v>1385</v>
      </c>
      <c r="E324" s="32">
        <v>1570000</v>
      </c>
      <c r="F324" s="28">
        <v>40878</v>
      </c>
      <c r="G324" s="29">
        <v>3.17</v>
      </c>
      <c r="H324" s="30" cm="1">
        <f t="array" ref="H324">_xlfn.IFS(I324="Founder / Owner",IF(ISNUMBER(SEARCH("owner",B324)),80,96),I324="C-Suite",IF(OR(ISNUMBER(SEARCH("ceo",B324)),ISNUMBER(SEARCH("chief executive",B324))),95,91),I324="Managing Director",86,I324="Partner",IF(OR(ISNUMBER(SEARCH("managing partner",B324)),ISNUMBER(SEARCH("general partner",B324))),88,85),I324="VP / Head",_xlfn.IFS(OR(ISNUMBER(SEARCH("vice president",B324)),ISNUMBER(SEARCH("executive vice",B324))),91,ISNUMBER(SEARCH("svp",B324)),77,TRUE,73),I324="Director",IF(ISNUMBER(SEARCH("principal",B324)),72,71),I324="Individual Contributor",32,OR(ISNUMBER(SEARCH("surgeon",B324)),ISNUMBER(SEARCH("physician",B324)),ISNUMBER(SEARCH("doctor",B324)),ISNUMBER(SEARCH("dentist",B324)),ISNUMBER(SEARCH("psychiat",B324)),ISNUMBER(SEARCH("oncolog",B324)),ISNUMBER(SEARCH("neurolog",B324)),ISNUMBER(SEARCH("patholog",B324)),ISNUMBER(SEARCH("medicine",B324)),ISNUMBER(SEARCH("obgyn",B324))),77,OR(ISNUMBER(SEARCH("portfolio manager",B324)),ISNUMBER(SEARCH("wealth advisor",B324))),81,OR(ISNUMBER(SEARCH("lawyer",B324)),ISNUMBER(SEARCH("attorney",B324))),68,ISNUMBER(SEARCH("counsel",B324)),66,ISNUMBER(SEARCH("professor",B324)),63,OR(ISNUMBER(SEARCH("engineer",B324)),ISNUMBER(SEARCH("consultant",B324))),62,ISNUMBER(SEARCH("senior manager",B324)),64,OR(ISNUMBER(SEARCH("realtor",B324)),ISNUMBER(SEARCH("broker",B324)),ISNUMBER(SEARCH("journalist",B324)),ISNUMBER(SEARCH("columnist",B324)),ISNUMBER(SEARCH("trader",B324)),ISNUMBER(SEARCH("actor",B324))),50,TRUE,60)</f>
        <v>71</v>
      </c>
      <c r="I324" s="31" t="str" cm="1">
        <f t="array" ref="I324">_xlfn.LET(_xlpm.p," "&amp;LOWER(SUBSTITUTE(SUBSTITUTE(SUBSTITUTE(B324,",","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4" s="31" t="str" cm="1">
        <f t="array" ref="J324">_xlfn.IFS(H324&gt;=90,"Very High",H324&gt;=80,"High",H324&gt;=56,"Medium",TRUE,"Low")</f>
        <v>Medium</v>
      </c>
      <c r="K324" s="31" t="str" cm="1">
        <f t="array" ref="K324">_xlfn.IFS(OR(ISNUMBER(SEARCH("hospital",C324)),ISNUMBER(SEARCH("health",C324)),ISNUMBER(SEARCH("medical",C324)),ISNUMBER(SEARCH("clinic",C324)),ISNUMBER(SEARCH("nursing",C324)),ISNUMBER(SEARCH("care cent",C324)),ISNUMBER(SEARCH("physician",B324)),ISNUMBER(SEARCH("doctor",B324)),ISNUMBER(SEARCH("dentist",B324)),ISNUMBER(SEARCH("surgeon",B324)),ISNUMBER(SEARCH("psychiat",B324)),ISNUMBER(SEARCH("medicine",B324))),"Healthcare",OR(ISNUMBER(SEARCH("llp",C324)),ISNUMBER(SEARCH("lawyer",B324)),ISNUMBER(SEARCH("attorney",B324)),ISNUMBER(SEARCH("legal",C324)),ISNUMBER(SEARCH("tetrault",C324)),ISNUMBER(SEARCH("morley",C324)),ISNUMBER(SEARCH("blg",C324)),ISNUMBER(SEARCH("lowy",C324)),ISNUMBER(SEARCH("riley",C324)),ISNUMBER(SEARCH("toomath",C324))),"Law",OR(ISNUMBER(SEARCH("reit",C324)),ISNUMBER(SEARCH("properties",C324)),ISNUMBER(SEARCH("realty",C324)),ISNUMBER(SEARCH("realtor",B324)),ISNUMBER(SEARCH("colliers",C324)),ISNUMBER(SEARCH("re/max",C324)),ISNUMBER(SEARCH("quadreal",C324)),ISNUMBER(SEARCH("vic management",C324))),"Real Estate",OR(ISNUMBER(SEARCH("deloitte",C324)),ISNUMBER(SEARCH("kpmg",C324)),ISNUMBER(SEARCH("pwc",C324)),ISNUMBER(SEARCH("consulting",C324)),ISNUMBER(SEARCH("consultant",B324)),ISNUMBER(SEARCH("advisory",C324)),ISNUMBER(SEARCH("philanthropic",C324)),ISNUMBER(SEARCH("argyle",C324)),ISNUMBER(SEARCH("quinn",C324))),"Consulting",OR(ISNUMBER(SEARCH("media",C324)),ISNUMBER(SEARCH("news",C324)),ISNUMBER(SEARCH("radio",C324)),ISNUMBER(SEARCH("film",C324)),ISNUMBER(SEARCH("journalist",B324)),ISNUMBER(SEARCH("columnist",B324)),ISNUMBER(SEARCH("globe",C324)),ISNUMBER(SEARCH("marketing",C324)),ISNUMBER(SEARCH("actor",B324))),"Media",OR(ISNUMBER(SEARCH("rbc",C324)),ISNUMBER(SEARCH("cibc",C324)),ISNUMBER(SEARCH("bmo",C324)),ISNUMBER(SEARCH("scotia",C324)),ISNUMBER(SEARCH("bank",C324)),ISNUMBER(SEARCH("capital",C324)),ISNUMBER(SEARCH("wealth",C324)),ISNUMBER(SEARCH("financial",C324)),ISNUMBER(SEARCH("securities",C324)),ISNUMBER(SEARCH("fidelity",C324)),ISNUMBER(SEARCH("guardian",C324)),ISNUMBER(SEARCH("wealthsimple",C324)),ISNUMBER(SEARCH("credit suisse",C324)),ISNUMBER(SEARCH("tmx",C324)),ISNUMBER(SEARCH("investors",C324)),ISNUMBER(SEARCH("trader",B324))),"Finance",OR(ISNUMBER(SEARCH("ventures",C324)),ISNUMBER(SEARCH("private equity",B324)),ISNUMBER(SEARCH("capital partners",C324))),"Private Equity / VC",OR(ISNUMBER(SEARCH("government",C324)),ISNUMBER(SEARCH("ministry",C324)),ISNUMBER(SEARCH("tribunal",C324)),ISNUMBER(SEARCH("tdsb",C324)),ISNUMBER(SEARCH("public service",C324))),"Government",OR(ISNUMBER(SEARCH("association",C324)),ISNUMBER(SEARCH("institute",C324)),ISNUMBER(SEARCH("foundation",C324))),"Nonprofit",OR(ISNUMBER(SEARCH("software",C324)),ISNUMBER(SEARCH("tech",C324)),ISNUMBER(SEARCH("systems",C324)),ISNUMBER(SEARCH("digital",C324)),ISNUMBER(SEARCH("engineering",C324)),ISNUMBER(SEARCH("solutions",C324))),"Technology",TRUE,"Other")</f>
        <v>Media</v>
      </c>
    </row>
    <row r="325" spans="1:11" x14ac:dyDescent="0.3">
      <c r="A325" s="11" t="s">
        <v>840</v>
      </c>
      <c r="B325" s="11" t="s">
        <v>124</v>
      </c>
      <c r="C325" s="13" t="s">
        <v>841</v>
      </c>
      <c r="D325" s="13" t="s">
        <v>839</v>
      </c>
      <c r="E325" s="17">
        <v>1600000</v>
      </c>
      <c r="F325" s="33">
        <v>38868</v>
      </c>
      <c r="G325" s="14">
        <v>4.09</v>
      </c>
      <c r="H325" s="9">
        <v>71</v>
      </c>
      <c r="I325" s="10" t="s">
        <v>124</v>
      </c>
      <c r="J325" s="10" t="s">
        <v>1056</v>
      </c>
      <c r="K325" s="10" t="s">
        <v>1051</v>
      </c>
    </row>
    <row r="326" spans="1:11" x14ac:dyDescent="0.3">
      <c r="A326" s="4" t="s">
        <v>821</v>
      </c>
      <c r="B326" s="4" t="s">
        <v>822</v>
      </c>
      <c r="C326" s="4" t="s">
        <v>823</v>
      </c>
      <c r="D326" s="4" t="s">
        <v>824</v>
      </c>
      <c r="E326" s="18">
        <v>1650000</v>
      </c>
      <c r="F326" s="5">
        <v>42825</v>
      </c>
      <c r="G326" s="6">
        <v>4.21</v>
      </c>
      <c r="H326" s="9">
        <v>71</v>
      </c>
      <c r="I326" s="10" t="s">
        <v>124</v>
      </c>
      <c r="J326" s="10" t="s">
        <v>1056</v>
      </c>
      <c r="K326" s="10" t="s">
        <v>1051</v>
      </c>
    </row>
    <row r="327" spans="1:11" x14ac:dyDescent="0.3">
      <c r="A327" s="11" t="s">
        <v>1185</v>
      </c>
      <c r="B327" s="11" t="s">
        <v>124</v>
      </c>
      <c r="C327" s="11" t="s">
        <v>1186</v>
      </c>
      <c r="D327" s="11" t="s">
        <v>1187</v>
      </c>
      <c r="E327" s="17">
        <v>1650000</v>
      </c>
      <c r="F327" s="33">
        <v>39169</v>
      </c>
      <c r="G327" s="12">
        <v>3.42</v>
      </c>
      <c r="H327" s="9">
        <v>71</v>
      </c>
      <c r="I327" s="10" t="s">
        <v>124</v>
      </c>
      <c r="J327" s="10" t="s">
        <v>1056</v>
      </c>
      <c r="K327" s="10" t="s">
        <v>1064</v>
      </c>
    </row>
    <row r="328" spans="1:11" x14ac:dyDescent="0.3">
      <c r="A328" s="4" t="s">
        <v>270</v>
      </c>
      <c r="B328" s="4" t="s">
        <v>124</v>
      </c>
      <c r="C328" s="4" t="s">
        <v>271</v>
      </c>
      <c r="D328" s="4" t="s">
        <v>272</v>
      </c>
      <c r="E328" s="18">
        <v>1700000</v>
      </c>
      <c r="F328" s="5">
        <v>43070</v>
      </c>
      <c r="G328" s="6">
        <v>4.5289999999999999</v>
      </c>
      <c r="H328" s="9">
        <v>71</v>
      </c>
      <c r="I328" s="10" t="s">
        <v>124</v>
      </c>
      <c r="J328" s="10" t="s">
        <v>1056</v>
      </c>
      <c r="K328" s="10" t="s">
        <v>1051</v>
      </c>
    </row>
    <row r="329" spans="1:11" x14ac:dyDescent="0.3">
      <c r="A329" s="11" t="s">
        <v>791</v>
      </c>
      <c r="B329" s="11" t="s">
        <v>124</v>
      </c>
      <c r="C329" s="11" t="s">
        <v>1495</v>
      </c>
      <c r="D329" s="11" t="s">
        <v>792</v>
      </c>
      <c r="E329" s="17">
        <v>1775000</v>
      </c>
      <c r="F329" s="33">
        <v>40400</v>
      </c>
      <c r="G329" s="12">
        <v>4.05</v>
      </c>
      <c r="H329" s="9">
        <v>71</v>
      </c>
      <c r="I329" s="10" t="s">
        <v>124</v>
      </c>
      <c r="J329" s="10" t="s">
        <v>1056</v>
      </c>
      <c r="K329" s="10" t="s">
        <v>1051</v>
      </c>
    </row>
    <row r="330" spans="1:11" x14ac:dyDescent="0.3">
      <c r="A330" s="4" t="s">
        <v>161</v>
      </c>
      <c r="B330" s="4" t="s">
        <v>293</v>
      </c>
      <c r="C330" s="4" t="s">
        <v>181</v>
      </c>
      <c r="D330" s="4" t="s">
        <v>162</v>
      </c>
      <c r="E330" s="18">
        <v>1810000</v>
      </c>
      <c r="F330" s="5">
        <v>45078</v>
      </c>
      <c r="G330" s="6">
        <v>4.8140000000000001</v>
      </c>
      <c r="H330" s="9">
        <v>71</v>
      </c>
      <c r="I330" s="10" t="s">
        <v>124</v>
      </c>
      <c r="J330" s="10" t="s">
        <v>1056</v>
      </c>
      <c r="K330" s="10" t="s">
        <v>1067</v>
      </c>
    </row>
    <row r="331" spans="1:11" x14ac:dyDescent="0.3">
      <c r="A331" s="4" t="s">
        <v>172</v>
      </c>
      <c r="B331" s="4" t="s">
        <v>124</v>
      </c>
      <c r="C331" s="4" t="s">
        <v>173</v>
      </c>
      <c r="D331" s="4" t="s">
        <v>162</v>
      </c>
      <c r="E331" s="18">
        <v>1810000</v>
      </c>
      <c r="F331" s="5">
        <v>45078</v>
      </c>
      <c r="G331" s="6">
        <v>4.8140000000000001</v>
      </c>
      <c r="H331" s="9">
        <v>71</v>
      </c>
      <c r="I331" s="10" t="s">
        <v>124</v>
      </c>
      <c r="J331" s="10" t="s">
        <v>1056</v>
      </c>
      <c r="K331" s="10" t="s">
        <v>1067</v>
      </c>
    </row>
    <row r="332" spans="1:11" x14ac:dyDescent="0.3">
      <c r="A332" s="4" t="s">
        <v>787</v>
      </c>
      <c r="B332" s="4" t="s">
        <v>788</v>
      </c>
      <c r="C332" s="4" t="s">
        <v>789</v>
      </c>
      <c r="D332" s="4" t="s">
        <v>790</v>
      </c>
      <c r="E332" s="18">
        <v>1835000</v>
      </c>
      <c r="F332" s="5">
        <v>42549</v>
      </c>
      <c r="G332" s="6">
        <v>4.1900000000000004</v>
      </c>
      <c r="H332" s="9">
        <v>71</v>
      </c>
      <c r="I332" s="10" t="s">
        <v>124</v>
      </c>
      <c r="J332" s="10" t="s">
        <v>1056</v>
      </c>
      <c r="K332" s="10" t="s">
        <v>1062</v>
      </c>
    </row>
    <row r="333" spans="1:11" x14ac:dyDescent="0.3">
      <c r="A333" s="4" t="s">
        <v>766</v>
      </c>
      <c r="B333" s="4" t="s">
        <v>124</v>
      </c>
      <c r="C333" s="4" t="s">
        <v>767</v>
      </c>
      <c r="D333" s="4" t="s">
        <v>765</v>
      </c>
      <c r="E333" s="18">
        <v>1955000</v>
      </c>
      <c r="F333" s="5">
        <v>38537</v>
      </c>
      <c r="G333" s="6">
        <v>4.07</v>
      </c>
      <c r="H333" s="9">
        <v>71</v>
      </c>
      <c r="I333" s="10" t="s">
        <v>124</v>
      </c>
      <c r="J333" s="10" t="s">
        <v>1056</v>
      </c>
      <c r="K333" s="10" t="s">
        <v>1051</v>
      </c>
    </row>
    <row r="334" spans="1:11" x14ac:dyDescent="0.3">
      <c r="A334" s="7" t="s">
        <v>1255</v>
      </c>
      <c r="B334" s="7" t="s">
        <v>1256</v>
      </c>
      <c r="C334" s="7" t="s">
        <v>1257</v>
      </c>
      <c r="D334" s="7" t="s">
        <v>1258</v>
      </c>
      <c r="E334" s="16">
        <v>2000000</v>
      </c>
      <c r="F334" s="34">
        <v>35944</v>
      </c>
      <c r="G334" s="3">
        <v>6.22</v>
      </c>
      <c r="H334" s="9">
        <v>71</v>
      </c>
      <c r="I334" s="10" t="s">
        <v>124</v>
      </c>
      <c r="J334" s="10" t="s">
        <v>1056</v>
      </c>
      <c r="K334" s="10" t="s">
        <v>1054</v>
      </c>
    </row>
    <row r="335" spans="1:11" x14ac:dyDescent="0.3">
      <c r="A335" s="4" t="s">
        <v>1259</v>
      </c>
      <c r="B335" s="4" t="s">
        <v>124</v>
      </c>
      <c r="C335" s="4" t="s">
        <v>744</v>
      </c>
      <c r="D335" s="4" t="s">
        <v>1258</v>
      </c>
      <c r="E335" s="18">
        <v>2000000</v>
      </c>
      <c r="F335" s="5">
        <v>35944</v>
      </c>
      <c r="G335" s="6">
        <v>6.22</v>
      </c>
      <c r="H335" s="9">
        <v>71</v>
      </c>
      <c r="I335" s="10" t="s">
        <v>124</v>
      </c>
      <c r="J335" s="10" t="s">
        <v>1056</v>
      </c>
      <c r="K335" s="10" t="s">
        <v>1054</v>
      </c>
    </row>
    <row r="336" spans="1:11" x14ac:dyDescent="0.3">
      <c r="A336" s="4" t="s">
        <v>750</v>
      </c>
      <c r="B336" s="4" t="s">
        <v>124</v>
      </c>
      <c r="C336" s="4" t="s">
        <v>751</v>
      </c>
      <c r="D336" s="4" t="s">
        <v>749</v>
      </c>
      <c r="E336" s="18">
        <v>2050000</v>
      </c>
      <c r="F336" s="5">
        <v>45467</v>
      </c>
      <c r="G336" s="6">
        <v>4.21</v>
      </c>
      <c r="H336" s="9">
        <v>71</v>
      </c>
      <c r="I336" s="10" t="s">
        <v>124</v>
      </c>
      <c r="J336" s="10" t="s">
        <v>1056</v>
      </c>
      <c r="K336" s="10" t="s">
        <v>1051</v>
      </c>
    </row>
    <row r="337" spans="1:11" x14ac:dyDescent="0.3">
      <c r="A337" s="4" t="s">
        <v>166</v>
      </c>
      <c r="B337" s="4" t="s">
        <v>1513</v>
      </c>
      <c r="C337" s="4" t="s">
        <v>1514</v>
      </c>
      <c r="D337" s="4" t="s">
        <v>167</v>
      </c>
      <c r="E337" s="18">
        <v>2120000</v>
      </c>
      <c r="F337" s="5">
        <v>44890</v>
      </c>
      <c r="G337" s="6">
        <v>4.5819999999999999</v>
      </c>
      <c r="H337" s="9">
        <v>71</v>
      </c>
      <c r="I337" s="10" t="s">
        <v>124</v>
      </c>
      <c r="J337" s="10" t="s">
        <v>1056</v>
      </c>
      <c r="K337" s="10" t="s">
        <v>1059</v>
      </c>
    </row>
    <row r="338" spans="1:11" x14ac:dyDescent="0.3">
      <c r="A338" s="4" t="s">
        <v>666</v>
      </c>
      <c r="B338" s="4" t="s">
        <v>124</v>
      </c>
      <c r="C338" s="4" t="s">
        <v>1555</v>
      </c>
      <c r="D338" s="4" t="s">
        <v>667</v>
      </c>
      <c r="E338" s="18">
        <v>2400000</v>
      </c>
      <c r="F338" s="5">
        <v>43448</v>
      </c>
      <c r="G338" s="6">
        <v>3.75</v>
      </c>
      <c r="H338" s="9">
        <v>71</v>
      </c>
      <c r="I338" s="10" t="s">
        <v>124</v>
      </c>
      <c r="J338" s="10" t="s">
        <v>1056</v>
      </c>
      <c r="K338" s="10" t="s">
        <v>1064</v>
      </c>
    </row>
    <row r="339" spans="1:11" x14ac:dyDescent="0.3">
      <c r="A339" s="11" t="s">
        <v>234</v>
      </c>
      <c r="B339" s="11" t="s">
        <v>235</v>
      </c>
      <c r="C339" s="11" t="s">
        <v>292</v>
      </c>
      <c r="D339" s="11" t="s">
        <v>236</v>
      </c>
      <c r="E339" s="17">
        <v>2440000</v>
      </c>
      <c r="F339" s="33">
        <v>45813</v>
      </c>
      <c r="G339" s="12">
        <v>4.6950000000000003</v>
      </c>
      <c r="H339" s="9">
        <v>71</v>
      </c>
      <c r="I339" s="10" t="s">
        <v>124</v>
      </c>
      <c r="J339" s="10" t="s">
        <v>1056</v>
      </c>
      <c r="K339" s="10" t="s">
        <v>1067</v>
      </c>
    </row>
    <row r="340" spans="1:11" x14ac:dyDescent="0.3">
      <c r="A340" s="11" t="s">
        <v>148</v>
      </c>
      <c r="B340" s="11" t="s">
        <v>149</v>
      </c>
      <c r="C340" s="11" t="s">
        <v>150</v>
      </c>
      <c r="D340" s="11" t="s">
        <v>151</v>
      </c>
      <c r="E340" s="17">
        <v>2525000</v>
      </c>
      <c r="F340" s="33">
        <v>44826</v>
      </c>
      <c r="G340" s="12">
        <v>4.673</v>
      </c>
      <c r="H340" s="9">
        <v>71</v>
      </c>
      <c r="I340" s="10" t="s">
        <v>124</v>
      </c>
      <c r="J340" s="10" t="s">
        <v>1056</v>
      </c>
      <c r="K340" s="10" t="s">
        <v>1062</v>
      </c>
    </row>
    <row r="341" spans="1:11" x14ac:dyDescent="0.3">
      <c r="A341" s="27" t="s">
        <v>1316</v>
      </c>
      <c r="B341" s="27" t="s">
        <v>124</v>
      </c>
      <c r="C341" s="27" t="s">
        <v>1457</v>
      </c>
      <c r="D341" s="27" t="s">
        <v>1317</v>
      </c>
      <c r="E341" s="32">
        <v>2530000</v>
      </c>
      <c r="F341" s="28">
        <v>42548</v>
      </c>
      <c r="G341" s="29">
        <v>3.01</v>
      </c>
      <c r="H341" s="30" cm="1">
        <f t="array" ref="H341">_xlfn.IFS(I341="Founder / Owner",IF(ISNUMBER(SEARCH("owner",B341)),80,96),I341="C-Suite",IF(OR(ISNUMBER(SEARCH("ceo",B341)),ISNUMBER(SEARCH("chief executive",B341))),95,91),I341="Managing Director",86,I341="Partner",IF(OR(ISNUMBER(SEARCH("managing partner",B341)),ISNUMBER(SEARCH("general partner",B341))),88,85),I341="VP / Head",_xlfn.IFS(OR(ISNUMBER(SEARCH("vice president",B341)),ISNUMBER(SEARCH("executive vice",B341))),91,ISNUMBER(SEARCH("svp",B341)),77,TRUE,73),I341="Director",IF(ISNUMBER(SEARCH("principal",B341)),72,71),I341="Individual Contributor",32,OR(ISNUMBER(SEARCH("surgeon",B341)),ISNUMBER(SEARCH("physician",B341)),ISNUMBER(SEARCH("doctor",B341)),ISNUMBER(SEARCH("dentist",B341)),ISNUMBER(SEARCH("psychiat",B341)),ISNUMBER(SEARCH("oncolog",B341)),ISNUMBER(SEARCH("neurolog",B341)),ISNUMBER(SEARCH("patholog",B341)),ISNUMBER(SEARCH("medicine",B341)),ISNUMBER(SEARCH("obgyn",B341))),77,OR(ISNUMBER(SEARCH("portfolio manager",B341)),ISNUMBER(SEARCH("wealth advisor",B341))),81,OR(ISNUMBER(SEARCH("lawyer",B341)),ISNUMBER(SEARCH("attorney",B341))),68,ISNUMBER(SEARCH("counsel",B341)),66,ISNUMBER(SEARCH("professor",B341)),63,OR(ISNUMBER(SEARCH("engineer",B341)),ISNUMBER(SEARCH("consultant",B341))),62,ISNUMBER(SEARCH("senior manager",B341)),64,OR(ISNUMBER(SEARCH("realtor",B341)),ISNUMBER(SEARCH("broker",B341)),ISNUMBER(SEARCH("journalist",B341)),ISNUMBER(SEARCH("columnist",B341)),ISNUMBER(SEARCH("trader",B341)),ISNUMBER(SEARCH("actor",B341))),50,TRUE,60)</f>
        <v>71</v>
      </c>
      <c r="I341" s="31" t="str" cm="1">
        <f t="array" ref="I341">_xlfn.LET(_xlpm.p," "&amp;LOWER(SUBSTITUTE(SUBSTITUTE(SUBSTITUTE(B341,",","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1" s="31" t="str" cm="1">
        <f t="array" ref="J341">_xlfn.IFS(H341&gt;=90,"Very High",H341&gt;=80,"High",H341&gt;=56,"Medium",TRUE,"Low")</f>
        <v>Medium</v>
      </c>
      <c r="K341" s="31" t="str" cm="1">
        <f t="array" ref="K341">_xlfn.IFS(OR(ISNUMBER(SEARCH("hospital",C341)),ISNUMBER(SEARCH("health",C341)),ISNUMBER(SEARCH("medical",C341)),ISNUMBER(SEARCH("clinic",C341)),ISNUMBER(SEARCH("nursing",C341)),ISNUMBER(SEARCH("care cent",C341)),ISNUMBER(SEARCH("physician",B341)),ISNUMBER(SEARCH("doctor",B341)),ISNUMBER(SEARCH("dentist",B341)),ISNUMBER(SEARCH("surgeon",B341)),ISNUMBER(SEARCH("psychiat",B341)),ISNUMBER(SEARCH("medicine",B341))),"Healthcare",OR(ISNUMBER(SEARCH("llp",C341)),ISNUMBER(SEARCH("lawyer",B341)),ISNUMBER(SEARCH("attorney",B341)),ISNUMBER(SEARCH("legal",C341)),ISNUMBER(SEARCH("tetrault",C341)),ISNUMBER(SEARCH("morley",C341)),ISNUMBER(SEARCH("blg",C341)),ISNUMBER(SEARCH("lowy",C341)),ISNUMBER(SEARCH("riley",C341)),ISNUMBER(SEARCH("toomath",C341))),"Law",OR(ISNUMBER(SEARCH("reit",C341)),ISNUMBER(SEARCH("properties",C341)),ISNUMBER(SEARCH("realty",C341)),ISNUMBER(SEARCH("realtor",B341)),ISNUMBER(SEARCH("colliers",C341)),ISNUMBER(SEARCH("re/max",C341)),ISNUMBER(SEARCH("quadreal",C341)),ISNUMBER(SEARCH("vic management",C341))),"Real Estate",OR(ISNUMBER(SEARCH("deloitte",C341)),ISNUMBER(SEARCH("kpmg",C341)),ISNUMBER(SEARCH("pwc",C341)),ISNUMBER(SEARCH("consulting",C341)),ISNUMBER(SEARCH("consultant",B341)),ISNUMBER(SEARCH("advisory",C341)),ISNUMBER(SEARCH("philanthropic",C341)),ISNUMBER(SEARCH("argyle",C341)),ISNUMBER(SEARCH("quinn",C341))),"Consulting",OR(ISNUMBER(SEARCH("media",C341)),ISNUMBER(SEARCH("news",C341)),ISNUMBER(SEARCH("radio",C341)),ISNUMBER(SEARCH("film",C341)),ISNUMBER(SEARCH("journalist",B341)),ISNUMBER(SEARCH("columnist",B341)),ISNUMBER(SEARCH("globe",C341)),ISNUMBER(SEARCH("marketing",C341)),ISNUMBER(SEARCH("actor",B341))),"Media",OR(ISNUMBER(SEARCH("rbc",C341)),ISNUMBER(SEARCH("cibc",C341)),ISNUMBER(SEARCH("bmo",C341)),ISNUMBER(SEARCH("scotia",C341)),ISNUMBER(SEARCH("bank",C341)),ISNUMBER(SEARCH("capital",C341)),ISNUMBER(SEARCH("wealth",C341)),ISNUMBER(SEARCH("financial",C341)),ISNUMBER(SEARCH("securities",C341)),ISNUMBER(SEARCH("fidelity",C341)),ISNUMBER(SEARCH("guardian",C341)),ISNUMBER(SEARCH("wealthsimple",C341)),ISNUMBER(SEARCH("credit suisse",C341)),ISNUMBER(SEARCH("tmx",C341)),ISNUMBER(SEARCH("investors",C341)),ISNUMBER(SEARCH("trader",B341))),"Finance",OR(ISNUMBER(SEARCH("ventures",C341)),ISNUMBER(SEARCH("private equity",B341)),ISNUMBER(SEARCH("capital partners",C341))),"Private Equity / VC",OR(ISNUMBER(SEARCH("government",C341)),ISNUMBER(SEARCH("ministry",C341)),ISNUMBER(SEARCH("tribunal",C341)),ISNUMBER(SEARCH("tdsb",C341)),ISNUMBER(SEARCH("public service",C341))),"Government",OR(ISNUMBER(SEARCH("association",C341)),ISNUMBER(SEARCH("institute",C341)),ISNUMBER(SEARCH("foundation",C341))),"Nonprofit",OR(ISNUMBER(SEARCH("software",C341)),ISNUMBER(SEARCH("tech",C341)),ISNUMBER(SEARCH("systems",C341)),ISNUMBER(SEARCH("digital",C341)),ISNUMBER(SEARCH("engineering",C341)),ISNUMBER(SEARCH("solutions",C341))),"Technology",TRUE,"Other")</f>
        <v>Finance</v>
      </c>
    </row>
    <row r="342" spans="1:11" x14ac:dyDescent="0.3">
      <c r="A342" s="4" t="s">
        <v>591</v>
      </c>
      <c r="B342" s="4" t="s">
        <v>124</v>
      </c>
      <c r="C342" s="4" t="s">
        <v>1477</v>
      </c>
      <c r="D342" s="4" t="s">
        <v>588</v>
      </c>
      <c r="E342" s="18">
        <v>2800000</v>
      </c>
      <c r="F342" s="5">
        <v>45810</v>
      </c>
      <c r="G342" s="6">
        <v>3.74</v>
      </c>
      <c r="H342" s="9">
        <v>71</v>
      </c>
      <c r="I342" s="10" t="s">
        <v>124</v>
      </c>
      <c r="J342" s="10" t="s">
        <v>1056</v>
      </c>
      <c r="K342" s="10" t="s">
        <v>1054</v>
      </c>
    </row>
    <row r="343" spans="1:11" x14ac:dyDescent="0.3">
      <c r="A343" s="4" t="s">
        <v>518</v>
      </c>
      <c r="B343" s="4" t="s">
        <v>124</v>
      </c>
      <c r="C343" s="4" t="s">
        <v>519</v>
      </c>
      <c r="D343" s="4" t="s">
        <v>520</v>
      </c>
      <c r="E343" s="18">
        <v>3295000</v>
      </c>
      <c r="F343" s="5">
        <v>45743</v>
      </c>
      <c r="G343" s="6">
        <v>3.92</v>
      </c>
      <c r="H343" s="9">
        <v>71</v>
      </c>
      <c r="I343" s="10" t="s">
        <v>124</v>
      </c>
      <c r="J343" s="10" t="s">
        <v>1056</v>
      </c>
      <c r="K343" s="10" t="s">
        <v>1051</v>
      </c>
    </row>
    <row r="344" spans="1:11" x14ac:dyDescent="0.3">
      <c r="A344" s="27" t="s">
        <v>1302</v>
      </c>
      <c r="B344" s="27" t="s">
        <v>124</v>
      </c>
      <c r="C344" s="27" t="s">
        <v>1450</v>
      </c>
      <c r="D344" s="27" t="s">
        <v>1303</v>
      </c>
      <c r="E344" s="32">
        <v>3400000</v>
      </c>
      <c r="F344" s="28">
        <v>45443</v>
      </c>
      <c r="G344" s="29">
        <v>3.21</v>
      </c>
      <c r="H344" s="30" cm="1">
        <f t="array" ref="H344">_xlfn.IFS(I344="Founder / Owner",IF(ISNUMBER(SEARCH("owner",B344)),80,96),I344="C-Suite",IF(OR(ISNUMBER(SEARCH("ceo",B344)),ISNUMBER(SEARCH("chief executive",B344))),95,91),I344="Managing Director",86,I344="Partner",IF(OR(ISNUMBER(SEARCH("managing partner",B344)),ISNUMBER(SEARCH("general partner",B344))),88,85),I344="VP / Head",_xlfn.IFS(OR(ISNUMBER(SEARCH("vice president",B344)),ISNUMBER(SEARCH("executive vice",B344))),91,ISNUMBER(SEARCH("svp",B344)),77,TRUE,73),I344="Director",IF(ISNUMBER(SEARCH("principal",B344)),72,71),I344="Individual Contributor",32,OR(ISNUMBER(SEARCH("surgeon",B344)),ISNUMBER(SEARCH("physician",B344)),ISNUMBER(SEARCH("doctor",B344)),ISNUMBER(SEARCH("dentist",B344)),ISNUMBER(SEARCH("psychiat",B344)),ISNUMBER(SEARCH("oncolog",B344)),ISNUMBER(SEARCH("neurolog",B344)),ISNUMBER(SEARCH("patholog",B344)),ISNUMBER(SEARCH("medicine",B344)),ISNUMBER(SEARCH("obgyn",B344))),77,OR(ISNUMBER(SEARCH("portfolio manager",B344)),ISNUMBER(SEARCH("wealth advisor",B344))),81,OR(ISNUMBER(SEARCH("lawyer",B344)),ISNUMBER(SEARCH("attorney",B344))),68,ISNUMBER(SEARCH("counsel",B344)),66,ISNUMBER(SEARCH("professor",B344)),63,OR(ISNUMBER(SEARCH("engineer",B344)),ISNUMBER(SEARCH("consultant",B344))),62,ISNUMBER(SEARCH("senior manager",B344)),64,OR(ISNUMBER(SEARCH("realtor",B344)),ISNUMBER(SEARCH("broker",B344)),ISNUMBER(SEARCH("journalist",B344)),ISNUMBER(SEARCH("columnist",B344)),ISNUMBER(SEARCH("trader",B344)),ISNUMBER(SEARCH("actor",B344))),50,TRUE,60)</f>
        <v>71</v>
      </c>
      <c r="I344" s="31" t="str" cm="1">
        <f t="array" ref="I344">_xlfn.LET(_xlpm.p," "&amp;LOWER(SUBSTITUTE(SUBSTITUTE(SUBSTITUTE(B344,",","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4" s="31" t="str" cm="1">
        <f t="array" ref="J344">_xlfn.IFS(H344&gt;=90,"Very High",H344&gt;=80,"High",H344&gt;=56,"Medium",TRUE,"Low")</f>
        <v>Medium</v>
      </c>
      <c r="K344" s="31" t="str" cm="1">
        <f t="array" ref="K344">_xlfn.IFS(OR(ISNUMBER(SEARCH("hospital",C344)),ISNUMBER(SEARCH("health",C344)),ISNUMBER(SEARCH("medical",C344)),ISNUMBER(SEARCH("clinic",C344)),ISNUMBER(SEARCH("nursing",C344)),ISNUMBER(SEARCH("care cent",C344)),ISNUMBER(SEARCH("physician",B344)),ISNUMBER(SEARCH("doctor",B344)),ISNUMBER(SEARCH("dentist",B344)),ISNUMBER(SEARCH("surgeon",B344)),ISNUMBER(SEARCH("psychiat",B344)),ISNUMBER(SEARCH("medicine",B344))),"Healthcare",OR(ISNUMBER(SEARCH("llp",C344)),ISNUMBER(SEARCH("lawyer",B344)),ISNUMBER(SEARCH("attorney",B344)),ISNUMBER(SEARCH("legal",C344)),ISNUMBER(SEARCH("tetrault",C344)),ISNUMBER(SEARCH("morley",C344)),ISNUMBER(SEARCH("blg",C344)),ISNUMBER(SEARCH("lowy",C344)),ISNUMBER(SEARCH("riley",C344)),ISNUMBER(SEARCH("toomath",C344))),"Law",OR(ISNUMBER(SEARCH("reit",C344)),ISNUMBER(SEARCH("properties",C344)),ISNUMBER(SEARCH("realty",C344)),ISNUMBER(SEARCH("realtor",B344)),ISNUMBER(SEARCH("colliers",C344)),ISNUMBER(SEARCH("re/max",C344)),ISNUMBER(SEARCH("quadreal",C344)),ISNUMBER(SEARCH("vic management",C344))),"Real Estate",OR(ISNUMBER(SEARCH("deloitte",C344)),ISNUMBER(SEARCH("kpmg",C344)),ISNUMBER(SEARCH("pwc",C344)),ISNUMBER(SEARCH("consulting",C344)),ISNUMBER(SEARCH("consultant",B344)),ISNUMBER(SEARCH("advisory",C344)),ISNUMBER(SEARCH("philanthropic",C344)),ISNUMBER(SEARCH("argyle",C344)),ISNUMBER(SEARCH("quinn",C344))),"Consulting",OR(ISNUMBER(SEARCH("media",C344)),ISNUMBER(SEARCH("news",C344)),ISNUMBER(SEARCH("radio",C344)),ISNUMBER(SEARCH("film",C344)),ISNUMBER(SEARCH("journalist",B344)),ISNUMBER(SEARCH("columnist",B344)),ISNUMBER(SEARCH("globe",C344)),ISNUMBER(SEARCH("marketing",C344)),ISNUMBER(SEARCH("actor",B344))),"Media",OR(ISNUMBER(SEARCH("rbc",C344)),ISNUMBER(SEARCH("cibc",C344)),ISNUMBER(SEARCH("bmo",C344)),ISNUMBER(SEARCH("scotia",C344)),ISNUMBER(SEARCH("bank",C344)),ISNUMBER(SEARCH("capital",C344)),ISNUMBER(SEARCH("wealth",C344)),ISNUMBER(SEARCH("financial",C344)),ISNUMBER(SEARCH("securities",C344)),ISNUMBER(SEARCH("fidelity",C344)),ISNUMBER(SEARCH("guardian",C344)),ISNUMBER(SEARCH("wealthsimple",C344)),ISNUMBER(SEARCH("credit suisse",C344)),ISNUMBER(SEARCH("tmx",C344)),ISNUMBER(SEARCH("investors",C344)),ISNUMBER(SEARCH("trader",B344))),"Finance",OR(ISNUMBER(SEARCH("ventures",C344)),ISNUMBER(SEARCH("private equity",B344)),ISNUMBER(SEARCH("capital partners",C344))),"Private Equity / VC",OR(ISNUMBER(SEARCH("government",C344)),ISNUMBER(SEARCH("ministry",C344)),ISNUMBER(SEARCH("tribunal",C344)),ISNUMBER(SEARCH("tdsb",C344)),ISNUMBER(SEARCH("public service",C344))),"Government",OR(ISNUMBER(SEARCH("association",C344)),ISNUMBER(SEARCH("institute",C344)),ISNUMBER(SEARCH("foundation",C344))),"Nonprofit",OR(ISNUMBER(SEARCH("software",C344)),ISNUMBER(SEARCH("tech",C344)),ISNUMBER(SEARCH("systems",C344)),ISNUMBER(SEARCH("digital",C344)),ISNUMBER(SEARCH("engineering",C344)),ISNUMBER(SEARCH("solutions",C344))),"Technology",TRUE,"Other")</f>
        <v>Law</v>
      </c>
    </row>
    <row r="345" spans="1:11" x14ac:dyDescent="0.3">
      <c r="A345" s="27" t="s">
        <v>1296</v>
      </c>
      <c r="B345" s="27" t="s">
        <v>1297</v>
      </c>
      <c r="C345" s="27" t="s">
        <v>1448</v>
      </c>
      <c r="D345" s="27" t="s">
        <v>1298</v>
      </c>
      <c r="E345" s="32">
        <v>3550000</v>
      </c>
      <c r="F345" s="28">
        <v>44707</v>
      </c>
      <c r="G345" s="29">
        <v>3.2</v>
      </c>
      <c r="H345" s="30" cm="1">
        <f t="array" ref="H345">_xlfn.IFS(I345="Founder / Owner",IF(ISNUMBER(SEARCH("owner",B345)),80,96),I345="C-Suite",IF(OR(ISNUMBER(SEARCH("ceo",B345)),ISNUMBER(SEARCH("chief executive",B345))),95,91),I345="Managing Director",86,I345="Partner",IF(OR(ISNUMBER(SEARCH("managing partner",B345)),ISNUMBER(SEARCH("general partner",B345))),88,85),I345="VP / Head",_xlfn.IFS(OR(ISNUMBER(SEARCH("vice president",B345)),ISNUMBER(SEARCH("executive vice",B345))),91,ISNUMBER(SEARCH("svp",B345)),77,TRUE,73),I345="Director",IF(ISNUMBER(SEARCH("principal",B345)),72,71),I345="Individual Contributor",32,OR(ISNUMBER(SEARCH("surgeon",B345)),ISNUMBER(SEARCH("physician",B345)),ISNUMBER(SEARCH("doctor",B345)),ISNUMBER(SEARCH("dentist",B345)),ISNUMBER(SEARCH("psychiat",B345)),ISNUMBER(SEARCH("oncolog",B345)),ISNUMBER(SEARCH("neurolog",B345)),ISNUMBER(SEARCH("patholog",B345)),ISNUMBER(SEARCH("medicine",B345)),ISNUMBER(SEARCH("obgyn",B345))),77,OR(ISNUMBER(SEARCH("portfolio manager",B345)),ISNUMBER(SEARCH("wealth advisor",B345))),81,OR(ISNUMBER(SEARCH("lawyer",B345)),ISNUMBER(SEARCH("attorney",B345))),68,ISNUMBER(SEARCH("counsel",B345)),66,ISNUMBER(SEARCH("professor",B345)),63,OR(ISNUMBER(SEARCH("engineer",B345)),ISNUMBER(SEARCH("consultant",B345))),62,ISNUMBER(SEARCH("senior manager",B345)),64,OR(ISNUMBER(SEARCH("realtor",B345)),ISNUMBER(SEARCH("broker",B345)),ISNUMBER(SEARCH("journalist",B345)),ISNUMBER(SEARCH("columnist",B345)),ISNUMBER(SEARCH("trader",B345)),ISNUMBER(SEARCH("actor",B345))),50,TRUE,60)</f>
        <v>71</v>
      </c>
      <c r="I345" s="31" t="str" cm="1">
        <f t="array" ref="I345">_xlfn.LET(_xlpm.p," "&amp;LOWER(SUBSTITUTE(SUBSTITUTE(SUBSTITUTE(B345,",","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5" s="31" t="str" cm="1">
        <f t="array" ref="J345">_xlfn.IFS(H345&gt;=90,"Very High",H345&gt;=80,"High",H345&gt;=56,"Medium",TRUE,"Low")</f>
        <v>Medium</v>
      </c>
      <c r="K345" s="31" t="str" cm="1">
        <f t="array" ref="K345">_xlfn.IFS(OR(ISNUMBER(SEARCH("hospital",C345)),ISNUMBER(SEARCH("health",C345)),ISNUMBER(SEARCH("medical",C345)),ISNUMBER(SEARCH("clinic",C345)),ISNUMBER(SEARCH("nursing",C345)),ISNUMBER(SEARCH("care cent",C345)),ISNUMBER(SEARCH("physician",B345)),ISNUMBER(SEARCH("doctor",B345)),ISNUMBER(SEARCH("dentist",B345)),ISNUMBER(SEARCH("surgeon",B345)),ISNUMBER(SEARCH("psychiat",B345)),ISNUMBER(SEARCH("medicine",B345))),"Healthcare",OR(ISNUMBER(SEARCH("llp",C345)),ISNUMBER(SEARCH("lawyer",B345)),ISNUMBER(SEARCH("attorney",B345)),ISNUMBER(SEARCH("legal",C345)),ISNUMBER(SEARCH("tetrault",C345)),ISNUMBER(SEARCH("morley",C345)),ISNUMBER(SEARCH("blg",C345)),ISNUMBER(SEARCH("lowy",C345)),ISNUMBER(SEARCH("riley",C345)),ISNUMBER(SEARCH("toomath",C345))),"Law",OR(ISNUMBER(SEARCH("reit",C345)),ISNUMBER(SEARCH("properties",C345)),ISNUMBER(SEARCH("realty",C345)),ISNUMBER(SEARCH("realtor",B345)),ISNUMBER(SEARCH("colliers",C345)),ISNUMBER(SEARCH("re/max",C345)),ISNUMBER(SEARCH("quadreal",C345)),ISNUMBER(SEARCH("vic management",C345))),"Real Estate",OR(ISNUMBER(SEARCH("deloitte",C345)),ISNUMBER(SEARCH("kpmg",C345)),ISNUMBER(SEARCH("pwc",C345)),ISNUMBER(SEARCH("consulting",C345)),ISNUMBER(SEARCH("consultant",B345)),ISNUMBER(SEARCH("advisory",C345)),ISNUMBER(SEARCH("philanthropic",C345)),ISNUMBER(SEARCH("argyle",C345)),ISNUMBER(SEARCH("quinn",C345))),"Consulting",OR(ISNUMBER(SEARCH("media",C345)),ISNUMBER(SEARCH("news",C345)),ISNUMBER(SEARCH("radio",C345)),ISNUMBER(SEARCH("film",C345)),ISNUMBER(SEARCH("journalist",B345)),ISNUMBER(SEARCH("columnist",B345)),ISNUMBER(SEARCH("globe",C345)),ISNUMBER(SEARCH("marketing",C345)),ISNUMBER(SEARCH("actor",B345))),"Media",OR(ISNUMBER(SEARCH("rbc",C345)),ISNUMBER(SEARCH("cibc",C345)),ISNUMBER(SEARCH("bmo",C345)),ISNUMBER(SEARCH("scotia",C345)),ISNUMBER(SEARCH("bank",C345)),ISNUMBER(SEARCH("capital",C345)),ISNUMBER(SEARCH("wealth",C345)),ISNUMBER(SEARCH("financial",C345)),ISNUMBER(SEARCH("securities",C345)),ISNUMBER(SEARCH("fidelity",C345)),ISNUMBER(SEARCH("guardian",C345)),ISNUMBER(SEARCH("wealthsimple",C345)),ISNUMBER(SEARCH("credit suisse",C345)),ISNUMBER(SEARCH("tmx",C345)),ISNUMBER(SEARCH("investors",C345)),ISNUMBER(SEARCH("trader",B345))),"Finance",OR(ISNUMBER(SEARCH("ventures",C345)),ISNUMBER(SEARCH("private equity",B345)),ISNUMBER(SEARCH("capital partners",C345))),"Private Equity / VC",OR(ISNUMBER(SEARCH("government",C345)),ISNUMBER(SEARCH("ministry",C345)),ISNUMBER(SEARCH("tribunal",C345)),ISNUMBER(SEARCH("tdsb",C345)),ISNUMBER(SEARCH("public service",C345))),"Government",OR(ISNUMBER(SEARCH("association",C345)),ISNUMBER(SEARCH("institute",C345)),ISNUMBER(SEARCH("foundation",C345))),"Nonprofit",OR(ISNUMBER(SEARCH("software",C345)),ISNUMBER(SEARCH("tech",C345)),ISNUMBER(SEARCH("systems",C345)),ISNUMBER(SEARCH("digital",C345)),ISNUMBER(SEARCH("engineering",C345)),ISNUMBER(SEARCH("solutions",C345))),"Technology",TRUE,"Other")</f>
        <v>Other</v>
      </c>
    </row>
    <row r="346" spans="1:11" x14ac:dyDescent="0.3">
      <c r="A346" s="4" t="s">
        <v>472</v>
      </c>
      <c r="B346" s="4" t="s">
        <v>473</v>
      </c>
      <c r="C346" s="4" t="s">
        <v>325</v>
      </c>
      <c r="D346" s="4" t="s">
        <v>474</v>
      </c>
      <c r="E346" s="18">
        <v>3700000</v>
      </c>
      <c r="F346" s="5">
        <v>43748</v>
      </c>
      <c r="G346" s="6">
        <v>3.69</v>
      </c>
      <c r="H346" s="9">
        <v>71</v>
      </c>
      <c r="I346" s="10" t="s">
        <v>124</v>
      </c>
      <c r="J346" s="10" t="s">
        <v>1056</v>
      </c>
      <c r="K346" s="10" t="s">
        <v>1054</v>
      </c>
    </row>
    <row r="347" spans="1:11" x14ac:dyDescent="0.3">
      <c r="A347" s="4" t="s">
        <v>1083</v>
      </c>
      <c r="B347" s="4" t="s">
        <v>1084</v>
      </c>
      <c r="C347" s="4" t="s">
        <v>1085</v>
      </c>
      <c r="D347" s="4" t="s">
        <v>1086</v>
      </c>
      <c r="E347" s="16">
        <v>4390000</v>
      </c>
      <c r="F347" s="5">
        <v>43717</v>
      </c>
      <c r="G347" s="6">
        <v>3.23</v>
      </c>
      <c r="H347" s="9">
        <v>71</v>
      </c>
      <c r="I347" s="10" t="s">
        <v>124</v>
      </c>
      <c r="J347" s="10" t="s">
        <v>1056</v>
      </c>
      <c r="K347" s="10" t="s">
        <v>1062</v>
      </c>
    </row>
    <row r="348" spans="1:11" x14ac:dyDescent="0.3">
      <c r="A348" s="4" t="s">
        <v>368</v>
      </c>
      <c r="B348" s="4" t="s">
        <v>124</v>
      </c>
      <c r="C348" s="4" t="s">
        <v>369</v>
      </c>
      <c r="D348" s="4" t="s">
        <v>367</v>
      </c>
      <c r="E348" s="16">
        <v>5206000</v>
      </c>
      <c r="F348" s="5">
        <v>44726</v>
      </c>
      <c r="G348" s="6">
        <v>3.95</v>
      </c>
      <c r="H348" s="9">
        <v>71</v>
      </c>
      <c r="I348" s="10" t="s">
        <v>124</v>
      </c>
      <c r="J348" s="10" t="s">
        <v>1056</v>
      </c>
      <c r="K348" s="10" t="s">
        <v>1051</v>
      </c>
    </row>
    <row r="349" spans="1:11" x14ac:dyDescent="0.3">
      <c r="A349" s="27" t="s">
        <v>1318</v>
      </c>
      <c r="B349" s="27" t="s">
        <v>124</v>
      </c>
      <c r="C349" s="27" t="s">
        <v>1319</v>
      </c>
      <c r="D349" s="27" t="s">
        <v>1320</v>
      </c>
      <c r="E349" s="32">
        <v>5500000</v>
      </c>
      <c r="F349" s="28">
        <v>44165</v>
      </c>
      <c r="G349" s="29">
        <v>2.97</v>
      </c>
      <c r="H349" s="30" cm="1">
        <f t="array" ref="H349">_xlfn.IFS(I349="Founder / Owner",IF(ISNUMBER(SEARCH("owner",B349)),80,96),I349="C-Suite",IF(OR(ISNUMBER(SEARCH("ceo",B349)),ISNUMBER(SEARCH("chief executive",B349))),95,91),I349="Managing Director",86,I349="Partner",IF(OR(ISNUMBER(SEARCH("managing partner",B349)),ISNUMBER(SEARCH("general partner",B349))),88,85),I349="VP / Head",_xlfn.IFS(OR(ISNUMBER(SEARCH("vice president",B349)),ISNUMBER(SEARCH("executive vice",B349))),91,ISNUMBER(SEARCH("svp",B349)),77,TRUE,73),I349="Director",IF(ISNUMBER(SEARCH("principal",B349)),72,71),I349="Individual Contributor",32,OR(ISNUMBER(SEARCH("surgeon",B349)),ISNUMBER(SEARCH("physician",B349)),ISNUMBER(SEARCH("doctor",B349)),ISNUMBER(SEARCH("dentist",B349)),ISNUMBER(SEARCH("psychiat",B349)),ISNUMBER(SEARCH("oncolog",B349)),ISNUMBER(SEARCH("neurolog",B349)),ISNUMBER(SEARCH("patholog",B349)),ISNUMBER(SEARCH("medicine",B349)),ISNUMBER(SEARCH("obgyn",B349))),77,OR(ISNUMBER(SEARCH("portfolio manager",B349)),ISNUMBER(SEARCH("wealth advisor",B349))),81,OR(ISNUMBER(SEARCH("lawyer",B349)),ISNUMBER(SEARCH("attorney",B349))),68,ISNUMBER(SEARCH("counsel",B349)),66,ISNUMBER(SEARCH("professor",B349)),63,OR(ISNUMBER(SEARCH("engineer",B349)),ISNUMBER(SEARCH("consultant",B349))),62,ISNUMBER(SEARCH("senior manager",B349)),64,OR(ISNUMBER(SEARCH("realtor",B349)),ISNUMBER(SEARCH("broker",B349)),ISNUMBER(SEARCH("journalist",B349)),ISNUMBER(SEARCH("columnist",B349)),ISNUMBER(SEARCH("trader",B349)),ISNUMBER(SEARCH("actor",B349))),50,TRUE,60)</f>
        <v>71</v>
      </c>
      <c r="I349" s="31" t="str" cm="1">
        <f t="array" ref="I349">_xlfn.LET(_xlpm.p," "&amp;LOWER(SUBSTITUTE(SUBSTITUTE(SUBSTITUTE(B349,",","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9" s="31" t="str" cm="1">
        <f t="array" ref="J349">_xlfn.IFS(H349&gt;=90,"Very High",H349&gt;=80,"High",H349&gt;=56,"Medium",TRUE,"Low")</f>
        <v>Medium</v>
      </c>
      <c r="K349" s="31" t="str" cm="1">
        <f t="array" ref="K349">_xlfn.IFS(OR(ISNUMBER(SEARCH("hospital",C349)),ISNUMBER(SEARCH("health",C349)),ISNUMBER(SEARCH("medical",C349)),ISNUMBER(SEARCH("clinic",C349)),ISNUMBER(SEARCH("nursing",C349)),ISNUMBER(SEARCH("care cent",C349)),ISNUMBER(SEARCH("physician",B349)),ISNUMBER(SEARCH("doctor",B349)),ISNUMBER(SEARCH("dentist",B349)),ISNUMBER(SEARCH("surgeon",B349)),ISNUMBER(SEARCH("psychiat",B349)),ISNUMBER(SEARCH("medicine",B349))),"Healthcare",OR(ISNUMBER(SEARCH("llp",C349)),ISNUMBER(SEARCH("lawyer",B349)),ISNUMBER(SEARCH("attorney",B349)),ISNUMBER(SEARCH("legal",C349)),ISNUMBER(SEARCH("tetrault",C349)),ISNUMBER(SEARCH("morley",C349)),ISNUMBER(SEARCH("blg",C349)),ISNUMBER(SEARCH("lowy",C349)),ISNUMBER(SEARCH("riley",C349)),ISNUMBER(SEARCH("toomath",C349))),"Law",OR(ISNUMBER(SEARCH("reit",C349)),ISNUMBER(SEARCH("properties",C349)),ISNUMBER(SEARCH("realty",C349)),ISNUMBER(SEARCH("realtor",B349)),ISNUMBER(SEARCH("colliers",C349)),ISNUMBER(SEARCH("re/max",C349)),ISNUMBER(SEARCH("quadreal",C349)),ISNUMBER(SEARCH("vic management",C349))),"Real Estate",OR(ISNUMBER(SEARCH("deloitte",C349)),ISNUMBER(SEARCH("kpmg",C349)),ISNUMBER(SEARCH("pwc",C349)),ISNUMBER(SEARCH("consulting",C349)),ISNUMBER(SEARCH("consultant",B349)),ISNUMBER(SEARCH("advisory",C349)),ISNUMBER(SEARCH("philanthropic",C349)),ISNUMBER(SEARCH("argyle",C349)),ISNUMBER(SEARCH("quinn",C349))),"Consulting",OR(ISNUMBER(SEARCH("media",C349)),ISNUMBER(SEARCH("news",C349)),ISNUMBER(SEARCH("radio",C349)),ISNUMBER(SEARCH("film",C349)),ISNUMBER(SEARCH("journalist",B349)),ISNUMBER(SEARCH("columnist",B349)),ISNUMBER(SEARCH("globe",C349)),ISNUMBER(SEARCH("marketing",C349)),ISNUMBER(SEARCH("actor",B349))),"Media",OR(ISNUMBER(SEARCH("rbc",C349)),ISNUMBER(SEARCH("cibc",C349)),ISNUMBER(SEARCH("bmo",C349)),ISNUMBER(SEARCH("scotia",C349)),ISNUMBER(SEARCH("bank",C349)),ISNUMBER(SEARCH("capital",C349)),ISNUMBER(SEARCH("wealth",C349)),ISNUMBER(SEARCH("financial",C349)),ISNUMBER(SEARCH("securities",C349)),ISNUMBER(SEARCH("fidelity",C349)),ISNUMBER(SEARCH("guardian",C349)),ISNUMBER(SEARCH("wealthsimple",C349)),ISNUMBER(SEARCH("credit suisse",C349)),ISNUMBER(SEARCH("tmx",C349)),ISNUMBER(SEARCH("investors",C349)),ISNUMBER(SEARCH("trader",B349))),"Finance",OR(ISNUMBER(SEARCH("ventures",C349)),ISNUMBER(SEARCH("private equity",B349)),ISNUMBER(SEARCH("capital partners",C349))),"Private Equity / VC",OR(ISNUMBER(SEARCH("government",C349)),ISNUMBER(SEARCH("ministry",C349)),ISNUMBER(SEARCH("tribunal",C349)),ISNUMBER(SEARCH("tdsb",C349)),ISNUMBER(SEARCH("public service",C349))),"Government",OR(ISNUMBER(SEARCH("association",C349)),ISNUMBER(SEARCH("institute",C349)),ISNUMBER(SEARCH("foundation",C349))),"Nonprofit",OR(ISNUMBER(SEARCH("software",C349)),ISNUMBER(SEARCH("tech",C349)),ISNUMBER(SEARCH("systems",C349)),ISNUMBER(SEARCH("digital",C349)),ISNUMBER(SEARCH("engineering",C349)),ISNUMBER(SEARCH("solutions",C349))),"Technology",TRUE,"Other")</f>
        <v>Technology</v>
      </c>
    </row>
    <row r="350" spans="1:11" x14ac:dyDescent="0.3">
      <c r="A350" s="11" t="s">
        <v>356</v>
      </c>
      <c r="B350" s="11" t="s">
        <v>1503</v>
      </c>
      <c r="C350" s="11" t="s">
        <v>357</v>
      </c>
      <c r="D350" s="11" t="s">
        <v>355</v>
      </c>
      <c r="E350" s="17">
        <v>5525000</v>
      </c>
      <c r="F350" s="33">
        <v>45464</v>
      </c>
      <c r="G350" s="12">
        <v>3.86</v>
      </c>
      <c r="H350" s="9">
        <v>71</v>
      </c>
      <c r="I350" s="10" t="s">
        <v>124</v>
      </c>
      <c r="J350" s="10" t="s">
        <v>1056</v>
      </c>
      <c r="K350" s="10" t="s">
        <v>1062</v>
      </c>
    </row>
    <row r="351" spans="1:11" x14ac:dyDescent="0.3">
      <c r="A351" s="11" t="s">
        <v>347</v>
      </c>
      <c r="B351" s="11" t="s">
        <v>124</v>
      </c>
      <c r="C351" s="13" t="s">
        <v>348</v>
      </c>
      <c r="D351" s="13" t="s">
        <v>346</v>
      </c>
      <c r="E351" s="16">
        <v>5580000</v>
      </c>
      <c r="F351" s="33">
        <v>46112</v>
      </c>
      <c r="G351" s="14">
        <v>3.82</v>
      </c>
      <c r="H351" s="9">
        <v>71</v>
      </c>
      <c r="I351" s="10" t="s">
        <v>124</v>
      </c>
      <c r="J351" s="10" t="s">
        <v>1056</v>
      </c>
      <c r="K351" s="10" t="s">
        <v>1051</v>
      </c>
    </row>
    <row r="352" spans="1:11" x14ac:dyDescent="0.3">
      <c r="A352" s="4" t="s">
        <v>967</v>
      </c>
      <c r="B352" s="4" t="s">
        <v>124</v>
      </c>
      <c r="C352" s="4" t="s">
        <v>968</v>
      </c>
      <c r="D352" s="4" t="s">
        <v>969</v>
      </c>
      <c r="E352" s="20" t="s">
        <v>1280</v>
      </c>
      <c r="F352" s="5">
        <v>42639</v>
      </c>
      <c r="G352" s="6">
        <v>3.88</v>
      </c>
      <c r="H352" s="9">
        <v>71</v>
      </c>
      <c r="I352" s="10" t="s">
        <v>124</v>
      </c>
      <c r="J352" s="10" t="s">
        <v>1056</v>
      </c>
      <c r="K352" s="10" t="s">
        <v>1051</v>
      </c>
    </row>
    <row r="353" spans="1:11" x14ac:dyDescent="0.3">
      <c r="A353" s="4" t="s">
        <v>973</v>
      </c>
      <c r="B353" s="4" t="s">
        <v>124</v>
      </c>
      <c r="C353" s="4" t="s">
        <v>974</v>
      </c>
      <c r="D353" s="4" t="s">
        <v>975</v>
      </c>
      <c r="E353" s="20" t="s">
        <v>1280</v>
      </c>
      <c r="F353" s="5">
        <v>36403</v>
      </c>
      <c r="G353" s="6">
        <v>4.29</v>
      </c>
      <c r="H353" s="9">
        <v>71</v>
      </c>
      <c r="I353" s="10" t="s">
        <v>124</v>
      </c>
      <c r="J353" s="10" t="s">
        <v>1056</v>
      </c>
      <c r="K353" s="10" t="s">
        <v>1054</v>
      </c>
    </row>
    <row r="354" spans="1:11" x14ac:dyDescent="0.3">
      <c r="A354" s="4" t="s">
        <v>993</v>
      </c>
      <c r="B354" s="4" t="s">
        <v>994</v>
      </c>
      <c r="C354" s="4" t="s">
        <v>294</v>
      </c>
      <c r="D354" s="4" t="s">
        <v>995</v>
      </c>
      <c r="E354" s="20" t="s">
        <v>1280</v>
      </c>
      <c r="F354" s="5">
        <v>38506</v>
      </c>
      <c r="G354" s="3">
        <v>3.81</v>
      </c>
      <c r="H354" s="9">
        <v>71</v>
      </c>
      <c r="I354" s="10" t="s">
        <v>124</v>
      </c>
      <c r="J354" s="10" t="s">
        <v>1056</v>
      </c>
      <c r="K354" s="10" t="s">
        <v>1054</v>
      </c>
    </row>
    <row r="355" spans="1:11" x14ac:dyDescent="0.3">
      <c r="A355" s="4" t="s">
        <v>996</v>
      </c>
      <c r="B355" s="4" t="s">
        <v>1535</v>
      </c>
      <c r="C355" s="4" t="s">
        <v>997</v>
      </c>
      <c r="D355" s="4" t="s">
        <v>998</v>
      </c>
      <c r="E355" s="20" t="s">
        <v>1280</v>
      </c>
      <c r="F355" s="5">
        <v>45089</v>
      </c>
      <c r="G355" s="6">
        <v>4.1500000000000004</v>
      </c>
      <c r="H355" s="9">
        <v>71</v>
      </c>
      <c r="I355" s="10" t="s">
        <v>124</v>
      </c>
      <c r="J355" s="10" t="s">
        <v>1056</v>
      </c>
      <c r="K355" s="10" t="s">
        <v>1062</v>
      </c>
    </row>
    <row r="356" spans="1:11" x14ac:dyDescent="0.3">
      <c r="A356" s="4" t="s">
        <v>1002</v>
      </c>
      <c r="B356" s="4" t="s">
        <v>124</v>
      </c>
      <c r="C356" s="4" t="s">
        <v>1003</v>
      </c>
      <c r="D356" s="4" t="s">
        <v>1004</v>
      </c>
      <c r="E356" s="20" t="s">
        <v>1280</v>
      </c>
      <c r="F356" s="5">
        <v>45455</v>
      </c>
      <c r="G356" s="6">
        <v>4.05</v>
      </c>
      <c r="H356" s="9">
        <v>71</v>
      </c>
      <c r="I356" s="10" t="s">
        <v>124</v>
      </c>
      <c r="J356" s="10" t="s">
        <v>1056</v>
      </c>
      <c r="K356" s="10" t="s">
        <v>1054</v>
      </c>
    </row>
    <row r="357" spans="1:11" x14ac:dyDescent="0.3">
      <c r="A357" s="27" t="s">
        <v>1380</v>
      </c>
      <c r="B357" s="27" t="s">
        <v>1411</v>
      </c>
      <c r="C357" s="27" t="s">
        <v>1412</v>
      </c>
      <c r="D357" s="27" t="s">
        <v>1413</v>
      </c>
      <c r="E357" s="32" t="s">
        <v>1280</v>
      </c>
      <c r="F357" s="28">
        <v>29102</v>
      </c>
      <c r="G357" s="29">
        <v>3.11</v>
      </c>
      <c r="H357" s="30" cm="1">
        <f t="array" ref="H357">_xlfn.IFS(I357="Founder / Owner",IF(ISNUMBER(SEARCH("owner",B357)),80,96),I357="C-Suite",IF(OR(ISNUMBER(SEARCH("ceo",B357)),ISNUMBER(SEARCH("chief executive",B357))),95,91),I357="Managing Director",86,I357="Partner",IF(OR(ISNUMBER(SEARCH("managing partner",B357)),ISNUMBER(SEARCH("general partner",B357))),88,85),I357="VP / Head",_xlfn.IFS(OR(ISNUMBER(SEARCH("vice president",B357)),ISNUMBER(SEARCH("executive vice",B357))),91,ISNUMBER(SEARCH("svp",B357)),77,TRUE,73),I357="Director",IF(ISNUMBER(SEARCH("principal",B357)),72,71),I357="Individual Contributor",32,OR(ISNUMBER(SEARCH("surgeon",B357)),ISNUMBER(SEARCH("physician",B357)),ISNUMBER(SEARCH("doctor",B357)),ISNUMBER(SEARCH("dentist",B357)),ISNUMBER(SEARCH("psychiat",B357)),ISNUMBER(SEARCH("oncolog",B357)),ISNUMBER(SEARCH("neurolog",B357)),ISNUMBER(SEARCH("patholog",B357)),ISNUMBER(SEARCH("medicine",B357)),ISNUMBER(SEARCH("obgyn",B357))),77,OR(ISNUMBER(SEARCH("portfolio manager",B357)),ISNUMBER(SEARCH("wealth advisor",B357))),81,OR(ISNUMBER(SEARCH("lawyer",B357)),ISNUMBER(SEARCH("attorney",B357))),68,ISNUMBER(SEARCH("counsel",B357)),66,ISNUMBER(SEARCH("professor",B357)),63,OR(ISNUMBER(SEARCH("engineer",B357)),ISNUMBER(SEARCH("consultant",B357))),62,ISNUMBER(SEARCH("senior manager",B357)),64,OR(ISNUMBER(SEARCH("realtor",B357)),ISNUMBER(SEARCH("broker",B357)),ISNUMBER(SEARCH("journalist",B357)),ISNUMBER(SEARCH("columnist",B357)),ISNUMBER(SEARCH("trader",B357)),ISNUMBER(SEARCH("actor",B357))),50,TRUE,60)</f>
        <v>71</v>
      </c>
      <c r="I357" s="31" t="str" cm="1">
        <f t="array" ref="I357">_xlfn.LET(_xlpm.p," "&amp;LOWER(SUBSTITUTE(SUBSTITUTE(SUBSTITUTE(B357,",","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7" s="31" t="str" cm="1">
        <f t="array" ref="J357">_xlfn.IFS(H357&gt;=90,"Very High",H357&gt;=80,"High",H357&gt;=56,"Medium",TRUE,"Low")</f>
        <v>Medium</v>
      </c>
      <c r="K357" s="31" t="str" cm="1">
        <f t="array" ref="K357">_xlfn.IFS(OR(ISNUMBER(SEARCH("hospital",C357)),ISNUMBER(SEARCH("health",C357)),ISNUMBER(SEARCH("medical",C357)),ISNUMBER(SEARCH("clinic",C357)),ISNUMBER(SEARCH("nursing",C357)),ISNUMBER(SEARCH("care cent",C357)),ISNUMBER(SEARCH("physician",B357)),ISNUMBER(SEARCH("doctor",B357)),ISNUMBER(SEARCH("dentist",B357)),ISNUMBER(SEARCH("surgeon",B357)),ISNUMBER(SEARCH("psychiat",B357)),ISNUMBER(SEARCH("medicine",B357))),"Healthcare",OR(ISNUMBER(SEARCH("llp",C357)),ISNUMBER(SEARCH("lawyer",B357)),ISNUMBER(SEARCH("attorney",B357)),ISNUMBER(SEARCH("legal",C357)),ISNUMBER(SEARCH("tetrault",C357)),ISNUMBER(SEARCH("morley",C357)),ISNUMBER(SEARCH("blg",C357)),ISNUMBER(SEARCH("lowy",C357)),ISNUMBER(SEARCH("riley",C357)),ISNUMBER(SEARCH("toomath",C357))),"Law",OR(ISNUMBER(SEARCH("reit",C357)),ISNUMBER(SEARCH("properties",C357)),ISNUMBER(SEARCH("realty",C357)),ISNUMBER(SEARCH("realtor",B357)),ISNUMBER(SEARCH("colliers",C357)),ISNUMBER(SEARCH("re/max",C357)),ISNUMBER(SEARCH("quadreal",C357)),ISNUMBER(SEARCH("vic management",C357))),"Real Estate",OR(ISNUMBER(SEARCH("deloitte",C357)),ISNUMBER(SEARCH("kpmg",C357)),ISNUMBER(SEARCH("pwc",C357)),ISNUMBER(SEARCH("consulting",C357)),ISNUMBER(SEARCH("consultant",B357)),ISNUMBER(SEARCH("advisory",C357)),ISNUMBER(SEARCH("philanthropic",C357)),ISNUMBER(SEARCH("argyle",C357)),ISNUMBER(SEARCH("quinn",C357))),"Consulting",OR(ISNUMBER(SEARCH("media",C357)),ISNUMBER(SEARCH("news",C357)),ISNUMBER(SEARCH("radio",C357)),ISNUMBER(SEARCH("film",C357)),ISNUMBER(SEARCH("journalist",B357)),ISNUMBER(SEARCH("columnist",B357)),ISNUMBER(SEARCH("globe",C357)),ISNUMBER(SEARCH("marketing",C357)),ISNUMBER(SEARCH("actor",B357))),"Media",OR(ISNUMBER(SEARCH("rbc",C357)),ISNUMBER(SEARCH("cibc",C357)),ISNUMBER(SEARCH("bmo",C357)),ISNUMBER(SEARCH("scotia",C357)),ISNUMBER(SEARCH("bank",C357)),ISNUMBER(SEARCH("capital",C357)),ISNUMBER(SEARCH("wealth",C357)),ISNUMBER(SEARCH("financial",C357)),ISNUMBER(SEARCH("securities",C357)),ISNUMBER(SEARCH("fidelity",C357)),ISNUMBER(SEARCH("guardian",C357)),ISNUMBER(SEARCH("wealthsimple",C357)),ISNUMBER(SEARCH("credit suisse",C357)),ISNUMBER(SEARCH("tmx",C357)),ISNUMBER(SEARCH("investors",C357)),ISNUMBER(SEARCH("trader",B357))),"Finance",OR(ISNUMBER(SEARCH("ventures",C357)),ISNUMBER(SEARCH("private equity",B357)),ISNUMBER(SEARCH("capital partners",C357))),"Private Equity / VC",OR(ISNUMBER(SEARCH("government",C357)),ISNUMBER(SEARCH("ministry",C357)),ISNUMBER(SEARCH("tribunal",C357)),ISNUMBER(SEARCH("tdsb",C357)),ISNUMBER(SEARCH("public service",C357))),"Government",OR(ISNUMBER(SEARCH("association",C357)),ISNUMBER(SEARCH("institute",C357)),ISNUMBER(SEARCH("foundation",C357))),"Nonprofit",OR(ISNUMBER(SEARCH("software",C357)),ISNUMBER(SEARCH("tech",C357)),ISNUMBER(SEARCH("systems",C357)),ISNUMBER(SEARCH("digital",C357)),ISNUMBER(SEARCH("engineering",C357)),ISNUMBER(SEARCH("solutions",C357))),"Technology",TRUE,"Other")</f>
        <v>Other</v>
      </c>
    </row>
    <row r="358" spans="1:11" x14ac:dyDescent="0.3">
      <c r="A358" s="4" t="s">
        <v>1020</v>
      </c>
      <c r="B358" s="4" t="s">
        <v>124</v>
      </c>
      <c r="C358" s="4" t="s">
        <v>1021</v>
      </c>
      <c r="D358" s="4" t="s">
        <v>1022</v>
      </c>
      <c r="E358" s="20" t="s">
        <v>1280</v>
      </c>
      <c r="F358" s="5">
        <v>42150</v>
      </c>
      <c r="G358" s="3">
        <v>4.28</v>
      </c>
      <c r="H358" s="9">
        <v>71</v>
      </c>
      <c r="I358" s="10" t="s">
        <v>124</v>
      </c>
      <c r="J358" s="10" t="s">
        <v>1056</v>
      </c>
      <c r="K358" s="10" t="s">
        <v>1065</v>
      </c>
    </row>
    <row r="359" spans="1:11" x14ac:dyDescent="0.3">
      <c r="A359" s="7" t="s">
        <v>1036</v>
      </c>
      <c r="B359" s="7" t="s">
        <v>124</v>
      </c>
      <c r="C359" s="7" t="s">
        <v>1037</v>
      </c>
      <c r="D359" s="7" t="s">
        <v>1038</v>
      </c>
      <c r="E359" s="20" t="s">
        <v>1280</v>
      </c>
      <c r="F359" s="34">
        <v>40899</v>
      </c>
      <c r="G359" s="3">
        <v>4.04</v>
      </c>
      <c r="H359" s="9">
        <v>71</v>
      </c>
      <c r="I359" s="10" t="s">
        <v>124</v>
      </c>
      <c r="J359" s="10" t="s">
        <v>1056</v>
      </c>
      <c r="K359" s="10" t="s">
        <v>1059</v>
      </c>
    </row>
    <row r="360" spans="1:11" x14ac:dyDescent="0.3">
      <c r="A360" s="4" t="s">
        <v>736</v>
      </c>
      <c r="B360" s="4" t="s">
        <v>737</v>
      </c>
      <c r="C360" s="4" t="s">
        <v>738</v>
      </c>
      <c r="D360" s="4" t="s">
        <v>739</v>
      </c>
      <c r="E360" s="18">
        <v>2100000</v>
      </c>
      <c r="F360" s="5">
        <v>44952</v>
      </c>
      <c r="G360" s="6">
        <v>4.18</v>
      </c>
      <c r="H360" s="9">
        <v>70</v>
      </c>
      <c r="I360" s="10" t="s">
        <v>156</v>
      </c>
      <c r="J360" s="10" t="s">
        <v>1056</v>
      </c>
      <c r="K360" s="10" t="s">
        <v>1057</v>
      </c>
    </row>
    <row r="361" spans="1:11" x14ac:dyDescent="0.3">
      <c r="A361" s="7" t="s">
        <v>70</v>
      </c>
      <c r="B361" s="7" t="s">
        <v>71</v>
      </c>
      <c r="C361" s="7" t="s">
        <v>72</v>
      </c>
      <c r="D361" s="7" t="s">
        <v>73</v>
      </c>
      <c r="E361" s="16">
        <v>429700</v>
      </c>
      <c r="F361" s="34">
        <v>32644</v>
      </c>
      <c r="G361" s="3">
        <v>4.5209999999999999</v>
      </c>
      <c r="H361" s="9">
        <v>68</v>
      </c>
      <c r="I361" s="10" t="s">
        <v>1055</v>
      </c>
      <c r="J361" s="10" t="s">
        <v>1056</v>
      </c>
      <c r="K361" s="10" t="s">
        <v>1057</v>
      </c>
    </row>
    <row r="362" spans="1:11" x14ac:dyDescent="0.3">
      <c r="A362" s="11" t="s">
        <v>85</v>
      </c>
      <c r="B362" s="11" t="s">
        <v>86</v>
      </c>
      <c r="C362" s="11" t="s">
        <v>87</v>
      </c>
      <c r="D362" s="11" t="s">
        <v>88</v>
      </c>
      <c r="E362" s="17">
        <v>775000</v>
      </c>
      <c r="F362" s="33">
        <v>39279</v>
      </c>
      <c r="G362" s="12">
        <v>2.9620000000000002</v>
      </c>
      <c r="H362" s="9">
        <v>68</v>
      </c>
      <c r="I362" s="10" t="s">
        <v>1063</v>
      </c>
      <c r="J362" s="10" t="s">
        <v>1056</v>
      </c>
      <c r="K362" s="10" t="s">
        <v>1054</v>
      </c>
    </row>
    <row r="363" spans="1:11" x14ac:dyDescent="0.3">
      <c r="A363" s="4" t="s">
        <v>1206</v>
      </c>
      <c r="B363" s="4" t="s">
        <v>71</v>
      </c>
      <c r="C363" s="4" t="s">
        <v>1207</v>
      </c>
      <c r="D363" s="4" t="s">
        <v>1208</v>
      </c>
      <c r="E363" s="18">
        <v>1015000</v>
      </c>
      <c r="F363" s="5">
        <v>34367</v>
      </c>
      <c r="G363" s="6">
        <v>3.3</v>
      </c>
      <c r="H363" s="9">
        <v>68</v>
      </c>
      <c r="I363" s="10" t="s">
        <v>1055</v>
      </c>
      <c r="J363" s="10" t="s">
        <v>1056</v>
      </c>
      <c r="K363" s="10" t="s">
        <v>1057</v>
      </c>
    </row>
    <row r="364" spans="1:11" x14ac:dyDescent="0.3">
      <c r="A364" s="7" t="s">
        <v>921</v>
      </c>
      <c r="B364" s="7" t="s">
        <v>71</v>
      </c>
      <c r="C364" s="7" t="s">
        <v>922</v>
      </c>
      <c r="D364" s="7" t="s">
        <v>920</v>
      </c>
      <c r="E364" s="16">
        <v>1150000</v>
      </c>
      <c r="F364" s="34">
        <v>40578</v>
      </c>
      <c r="G364" s="3">
        <v>3.66</v>
      </c>
      <c r="H364" s="9">
        <v>68</v>
      </c>
      <c r="I364" s="10" t="s">
        <v>1055</v>
      </c>
      <c r="J364" s="10" t="s">
        <v>1056</v>
      </c>
      <c r="K364" s="10" t="s">
        <v>1057</v>
      </c>
    </row>
    <row r="365" spans="1:11" x14ac:dyDescent="0.3">
      <c r="A365" s="4" t="s">
        <v>143</v>
      </c>
      <c r="B365" s="4" t="s">
        <v>71</v>
      </c>
      <c r="C365" s="4" t="s">
        <v>144</v>
      </c>
      <c r="D365" s="4" t="s">
        <v>145</v>
      </c>
      <c r="E365" s="18">
        <v>1155000</v>
      </c>
      <c r="F365" s="5">
        <v>45573</v>
      </c>
      <c r="G365" s="6">
        <v>2.87</v>
      </c>
      <c r="H365" s="9">
        <v>68</v>
      </c>
      <c r="I365" s="10" t="s">
        <v>1055</v>
      </c>
      <c r="J365" s="10" t="s">
        <v>1056</v>
      </c>
      <c r="K365" s="10" t="s">
        <v>1057</v>
      </c>
    </row>
    <row r="366" spans="1:11" x14ac:dyDescent="0.3">
      <c r="A366" s="4" t="s">
        <v>1192</v>
      </c>
      <c r="B366" s="4" t="s">
        <v>71</v>
      </c>
      <c r="C366" s="4" t="s">
        <v>1193</v>
      </c>
      <c r="D366" s="4" t="s">
        <v>1194</v>
      </c>
      <c r="E366" s="18">
        <v>1505000</v>
      </c>
      <c r="F366" s="5">
        <v>42201</v>
      </c>
      <c r="G366" s="3">
        <v>3.26</v>
      </c>
      <c r="H366" s="9">
        <v>68</v>
      </c>
      <c r="I366" s="10" t="s">
        <v>1055</v>
      </c>
      <c r="J366" s="10" t="s">
        <v>1056</v>
      </c>
      <c r="K366" s="10" t="s">
        <v>1057</v>
      </c>
    </row>
    <row r="367" spans="1:11" x14ac:dyDescent="0.3">
      <c r="A367" s="7" t="s">
        <v>252</v>
      </c>
      <c r="B367" s="7" t="s">
        <v>71</v>
      </c>
      <c r="C367" s="7" t="s">
        <v>253</v>
      </c>
      <c r="D367" s="7" t="s">
        <v>200</v>
      </c>
      <c r="E367" s="16">
        <v>1550000</v>
      </c>
      <c r="F367" s="34">
        <v>45204</v>
      </c>
      <c r="G367" s="3">
        <v>4.7480000000000002</v>
      </c>
      <c r="H367" s="9">
        <v>68</v>
      </c>
      <c r="I367" s="10" t="s">
        <v>1055</v>
      </c>
      <c r="J367" s="10" t="s">
        <v>1056</v>
      </c>
      <c r="K367" s="10" t="s">
        <v>1057</v>
      </c>
    </row>
    <row r="368" spans="1:11" x14ac:dyDescent="0.3">
      <c r="A368" s="4" t="s">
        <v>81</v>
      </c>
      <c r="B368" s="4" t="s">
        <v>82</v>
      </c>
      <c r="C368" s="4" t="s">
        <v>83</v>
      </c>
      <c r="D368" s="4" t="s">
        <v>84</v>
      </c>
      <c r="E368" s="18">
        <v>1975000</v>
      </c>
      <c r="F368" s="5">
        <v>41376</v>
      </c>
      <c r="G368" s="6">
        <v>2.8210000000000002</v>
      </c>
      <c r="H368" s="9">
        <v>68</v>
      </c>
      <c r="I368" s="10" t="s">
        <v>1055</v>
      </c>
      <c r="J368" s="10" t="s">
        <v>1056</v>
      </c>
      <c r="K368" s="10" t="s">
        <v>1057</v>
      </c>
    </row>
    <row r="369" spans="1:11" x14ac:dyDescent="0.3">
      <c r="A369" s="4" t="s">
        <v>740</v>
      </c>
      <c r="B369" s="4" t="s">
        <v>741</v>
      </c>
      <c r="C369" s="4" t="s">
        <v>1509</v>
      </c>
      <c r="D369" s="4" t="s">
        <v>742</v>
      </c>
      <c r="E369" s="18">
        <v>2100000</v>
      </c>
      <c r="F369" s="5">
        <v>45894</v>
      </c>
      <c r="G369" s="6">
        <v>4.17</v>
      </c>
      <c r="H369" s="9">
        <v>68</v>
      </c>
      <c r="I369" s="10" t="s">
        <v>1055</v>
      </c>
      <c r="J369" s="10" t="s">
        <v>1056</v>
      </c>
      <c r="K369" s="10" t="s">
        <v>1057</v>
      </c>
    </row>
    <row r="370" spans="1:11" x14ac:dyDescent="0.3">
      <c r="A370" s="4" t="s">
        <v>727</v>
      </c>
      <c r="B370" s="4" t="s">
        <v>1553</v>
      </c>
      <c r="C370" s="4" t="s">
        <v>728</v>
      </c>
      <c r="D370" s="4" t="s">
        <v>729</v>
      </c>
      <c r="E370" s="18">
        <v>2167000</v>
      </c>
      <c r="F370" s="5">
        <v>40343</v>
      </c>
      <c r="G370" s="3">
        <v>3.94</v>
      </c>
      <c r="H370" s="9">
        <v>68</v>
      </c>
      <c r="I370" s="10" t="s">
        <v>1063</v>
      </c>
      <c r="J370" s="10" t="s">
        <v>1056</v>
      </c>
      <c r="K370" s="10" t="s">
        <v>1058</v>
      </c>
    </row>
    <row r="371" spans="1:11" x14ac:dyDescent="0.3">
      <c r="A371" s="4" t="s">
        <v>725</v>
      </c>
      <c r="B371" s="4" t="s">
        <v>71</v>
      </c>
      <c r="C371" s="4" t="s">
        <v>1554</v>
      </c>
      <c r="D371" s="4" t="s">
        <v>726</v>
      </c>
      <c r="E371" s="18">
        <v>2230000</v>
      </c>
      <c r="F371" s="5">
        <v>41626</v>
      </c>
      <c r="G371" s="6">
        <v>4.0199999999999996</v>
      </c>
      <c r="H371" s="9">
        <v>68</v>
      </c>
      <c r="I371" s="10" t="s">
        <v>1055</v>
      </c>
      <c r="J371" s="10" t="s">
        <v>1056</v>
      </c>
      <c r="K371" s="10" t="s">
        <v>1057</v>
      </c>
    </row>
    <row r="372" spans="1:11" x14ac:dyDescent="0.3">
      <c r="A372" s="7" t="s">
        <v>1141</v>
      </c>
      <c r="B372" s="7" t="s">
        <v>1142</v>
      </c>
      <c r="C372" s="7" t="s">
        <v>1024</v>
      </c>
      <c r="D372" s="7" t="s">
        <v>1143</v>
      </c>
      <c r="E372" s="16">
        <v>2325000</v>
      </c>
      <c r="F372" s="34">
        <v>45315</v>
      </c>
      <c r="G372" s="3">
        <v>3.48</v>
      </c>
      <c r="H372" s="9">
        <v>68</v>
      </c>
      <c r="I372" s="10" t="s">
        <v>1055</v>
      </c>
      <c r="J372" s="10" t="s">
        <v>1056</v>
      </c>
      <c r="K372" s="10" t="s">
        <v>1057</v>
      </c>
    </row>
    <row r="373" spans="1:11" x14ac:dyDescent="0.3">
      <c r="A373" s="11" t="s">
        <v>673</v>
      </c>
      <c r="B373" s="11" t="s">
        <v>71</v>
      </c>
      <c r="C373" s="11" t="s">
        <v>674</v>
      </c>
      <c r="D373" s="11" t="s">
        <v>675</v>
      </c>
      <c r="E373" s="17">
        <v>2375000</v>
      </c>
      <c r="F373" s="33">
        <v>41030</v>
      </c>
      <c r="G373" s="12">
        <v>4.07</v>
      </c>
      <c r="H373" s="9">
        <v>68</v>
      </c>
      <c r="I373" s="10" t="s">
        <v>1055</v>
      </c>
      <c r="J373" s="10" t="s">
        <v>1056</v>
      </c>
      <c r="K373" s="10" t="s">
        <v>1057</v>
      </c>
    </row>
    <row r="374" spans="1:11" x14ac:dyDescent="0.3">
      <c r="A374" s="4" t="s">
        <v>676</v>
      </c>
      <c r="B374" s="4" t="s">
        <v>71</v>
      </c>
      <c r="C374" s="4" t="s">
        <v>677</v>
      </c>
      <c r="D374" s="4" t="s">
        <v>675</v>
      </c>
      <c r="E374" s="18">
        <v>2375000</v>
      </c>
      <c r="F374" s="5">
        <v>41030</v>
      </c>
      <c r="G374" s="6">
        <v>4.07</v>
      </c>
      <c r="H374" s="9">
        <v>68</v>
      </c>
      <c r="I374" s="10" t="s">
        <v>1055</v>
      </c>
      <c r="J374" s="10" t="s">
        <v>1056</v>
      </c>
      <c r="K374" s="10" t="s">
        <v>1057</v>
      </c>
    </row>
    <row r="375" spans="1:11" x14ac:dyDescent="0.3">
      <c r="A375" s="4" t="s">
        <v>661</v>
      </c>
      <c r="B375" s="4" t="s">
        <v>662</v>
      </c>
      <c r="C375" s="4" t="s">
        <v>1511</v>
      </c>
      <c r="D375" s="4" t="s">
        <v>663</v>
      </c>
      <c r="E375" s="18">
        <v>2400000</v>
      </c>
      <c r="F375" s="5">
        <v>45665</v>
      </c>
      <c r="G375" s="6">
        <v>3.86</v>
      </c>
      <c r="H375" s="9">
        <v>68</v>
      </c>
      <c r="I375" s="10" t="s">
        <v>124</v>
      </c>
      <c r="J375" s="10" t="s">
        <v>1056</v>
      </c>
      <c r="K375" s="10" t="s">
        <v>1051</v>
      </c>
    </row>
    <row r="376" spans="1:11" x14ac:dyDescent="0.3">
      <c r="A376" s="4" t="s">
        <v>624</v>
      </c>
      <c r="B376" s="4" t="s">
        <v>71</v>
      </c>
      <c r="C376" s="4" t="s">
        <v>110</v>
      </c>
      <c r="D376" s="4" t="s">
        <v>625</v>
      </c>
      <c r="E376" s="18">
        <v>2535000</v>
      </c>
      <c r="F376" s="5">
        <v>45687</v>
      </c>
      <c r="G376" s="6">
        <v>3.75</v>
      </c>
      <c r="H376" s="9">
        <v>68</v>
      </c>
      <c r="I376" s="10" t="s">
        <v>1055</v>
      </c>
      <c r="J376" s="10" t="s">
        <v>1056</v>
      </c>
      <c r="K376" s="10" t="s">
        <v>1057</v>
      </c>
    </row>
    <row r="377" spans="1:11" x14ac:dyDescent="0.3">
      <c r="A377" s="4" t="s">
        <v>626</v>
      </c>
      <c r="B377" s="4" t="s">
        <v>71</v>
      </c>
      <c r="C377" s="4" t="s">
        <v>597</v>
      </c>
      <c r="D377" s="4" t="s">
        <v>625</v>
      </c>
      <c r="E377" s="18">
        <v>2535000</v>
      </c>
      <c r="F377" s="5">
        <v>45687</v>
      </c>
      <c r="G377" s="6">
        <v>3.75</v>
      </c>
      <c r="H377" s="9">
        <v>68</v>
      </c>
      <c r="I377" s="10" t="s">
        <v>1055</v>
      </c>
      <c r="J377" s="10" t="s">
        <v>1056</v>
      </c>
      <c r="K377" s="10" t="s">
        <v>1057</v>
      </c>
    </row>
    <row r="378" spans="1:11" x14ac:dyDescent="0.3">
      <c r="A378" s="4" t="s">
        <v>1132</v>
      </c>
      <c r="B378" s="4" t="s">
        <v>71</v>
      </c>
      <c r="C378" s="4" t="s">
        <v>1133</v>
      </c>
      <c r="D378" s="4" t="s">
        <v>1134</v>
      </c>
      <c r="E378" s="18">
        <v>2700000</v>
      </c>
      <c r="F378" s="5">
        <v>45855</v>
      </c>
      <c r="G378" s="6">
        <v>3.32</v>
      </c>
      <c r="H378" s="9">
        <v>68</v>
      </c>
      <c r="I378" s="10" t="s">
        <v>1055</v>
      </c>
      <c r="J378" s="10" t="s">
        <v>1056</v>
      </c>
      <c r="K378" s="10" t="s">
        <v>1057</v>
      </c>
    </row>
    <row r="379" spans="1:11" x14ac:dyDescent="0.3">
      <c r="A379" s="4" t="s">
        <v>539</v>
      </c>
      <c r="B379" s="4" t="s">
        <v>540</v>
      </c>
      <c r="C379" s="4" t="s">
        <v>541</v>
      </c>
      <c r="D379" s="4" t="s">
        <v>542</v>
      </c>
      <c r="E379" s="18">
        <v>3101000</v>
      </c>
      <c r="F379" s="5">
        <v>42300</v>
      </c>
      <c r="G379" s="6">
        <v>4.25</v>
      </c>
      <c r="H379" s="9">
        <v>68</v>
      </c>
      <c r="I379" s="10" t="s">
        <v>124</v>
      </c>
      <c r="J379" s="10" t="s">
        <v>1056</v>
      </c>
      <c r="K379" s="10" t="s">
        <v>1068</v>
      </c>
    </row>
    <row r="380" spans="1:11" x14ac:dyDescent="0.3">
      <c r="A380" s="27" t="s">
        <v>1321</v>
      </c>
      <c r="B380" s="27" t="s">
        <v>1322</v>
      </c>
      <c r="C380" s="27" t="s">
        <v>1024</v>
      </c>
      <c r="D380" s="27" t="s">
        <v>1303</v>
      </c>
      <c r="E380" s="32">
        <v>3400000</v>
      </c>
      <c r="F380" s="28">
        <v>45443</v>
      </c>
      <c r="G380" s="29">
        <v>3.21</v>
      </c>
      <c r="H380" s="30" cm="1">
        <f t="array" ref="H380">_xlfn.IFS(I380="Founder / Owner",IF(ISNUMBER(SEARCH("owner",B380)),80,96),I380="C-Suite",IF(OR(ISNUMBER(SEARCH("ceo",B380)),ISNUMBER(SEARCH("chief executive",B380))),95,91),I380="Managing Director",86,I380="Partner",IF(OR(ISNUMBER(SEARCH("managing partner",B380)),ISNUMBER(SEARCH("general partner",B380))),88,85),I380="VP / Head",_xlfn.IFS(OR(ISNUMBER(SEARCH("vice president",B380)),ISNUMBER(SEARCH("executive vice",B380))),91,ISNUMBER(SEARCH("svp",B380)),77,TRUE,73),I380="Director",IF(ISNUMBER(SEARCH("principal",B380)),72,71),I380="Individual Contributor",32,OR(ISNUMBER(SEARCH("surgeon",B380)),ISNUMBER(SEARCH("physician",B380)),ISNUMBER(SEARCH("doctor",B380)),ISNUMBER(SEARCH("dentist",B380)),ISNUMBER(SEARCH("psychiat",B380)),ISNUMBER(SEARCH("oncolog",B380)),ISNUMBER(SEARCH("neurolog",B380)),ISNUMBER(SEARCH("patholog",B380)),ISNUMBER(SEARCH("medicine",B380)),ISNUMBER(SEARCH("obgyn",B380))),77,OR(ISNUMBER(SEARCH("portfolio manager",B380)),ISNUMBER(SEARCH("wealth advisor",B380))),81,OR(ISNUMBER(SEARCH("lawyer",B380)),ISNUMBER(SEARCH("attorney",B380))),68,ISNUMBER(SEARCH("counsel",B380)),66,ISNUMBER(SEARCH("professor",B380)),63,OR(ISNUMBER(SEARCH("engineer",B380)),ISNUMBER(SEARCH("consultant",B380))),62,ISNUMBER(SEARCH("senior manager",B380)),64,OR(ISNUMBER(SEARCH("realtor",B380)),ISNUMBER(SEARCH("broker",B380)),ISNUMBER(SEARCH("journalist",B380)),ISNUMBER(SEARCH("columnist",B380)),ISNUMBER(SEARCH("trader",B380)),ISNUMBER(SEARCH("actor",B380))),50,TRUE,60)</f>
        <v>68</v>
      </c>
      <c r="I380" s="31" t="str" cm="1">
        <f t="array" ref="I380">_xlfn.LET(_xlpm.p," "&amp;LOWER(SUBSTITUTE(SUBSTITUTE(SUBSTITUTE(B380,",","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80" s="31" t="str" cm="1">
        <f t="array" ref="J380">_xlfn.IFS(H380&gt;=90,"Very High",H380&gt;=80,"High",H380&gt;=56,"Medium",TRUE,"Low")</f>
        <v>Medium</v>
      </c>
      <c r="K380" s="31" t="str" cm="1">
        <f t="array" ref="K380">_xlfn.IFS(OR(ISNUMBER(SEARCH("hospital",C380)),ISNUMBER(SEARCH("health",C380)),ISNUMBER(SEARCH("medical",C380)),ISNUMBER(SEARCH("clinic",C380)),ISNUMBER(SEARCH("nursing",C380)),ISNUMBER(SEARCH("care cent",C380)),ISNUMBER(SEARCH("physician",B380)),ISNUMBER(SEARCH("doctor",B380)),ISNUMBER(SEARCH("dentist",B380)),ISNUMBER(SEARCH("surgeon",B380)),ISNUMBER(SEARCH("psychiat",B380)),ISNUMBER(SEARCH("medicine",B380))),"Healthcare",OR(ISNUMBER(SEARCH("llp",C380)),ISNUMBER(SEARCH("lawyer",B380)),ISNUMBER(SEARCH("attorney",B380)),ISNUMBER(SEARCH("legal",C380)),ISNUMBER(SEARCH("tetrault",C380)),ISNUMBER(SEARCH("morley",C380)),ISNUMBER(SEARCH("blg",C380)),ISNUMBER(SEARCH("lowy",C380)),ISNUMBER(SEARCH("riley",C380)),ISNUMBER(SEARCH("toomath",C380))),"Law",OR(ISNUMBER(SEARCH("reit",C380)),ISNUMBER(SEARCH("properties",C380)),ISNUMBER(SEARCH("realty",C380)),ISNUMBER(SEARCH("realtor",B380)),ISNUMBER(SEARCH("colliers",C380)),ISNUMBER(SEARCH("re/max",C380)),ISNUMBER(SEARCH("quadreal",C380)),ISNUMBER(SEARCH("vic management",C380))),"Real Estate",OR(ISNUMBER(SEARCH("deloitte",C380)),ISNUMBER(SEARCH("kpmg",C380)),ISNUMBER(SEARCH("pwc",C380)),ISNUMBER(SEARCH("consulting",C380)),ISNUMBER(SEARCH("consultant",B380)),ISNUMBER(SEARCH("advisory",C380)),ISNUMBER(SEARCH("philanthropic",C380)),ISNUMBER(SEARCH("argyle",C380)),ISNUMBER(SEARCH("quinn",C380))),"Consulting",OR(ISNUMBER(SEARCH("media",C380)),ISNUMBER(SEARCH("news",C380)),ISNUMBER(SEARCH("radio",C380)),ISNUMBER(SEARCH("film",C380)),ISNUMBER(SEARCH("journalist",B380)),ISNUMBER(SEARCH("columnist",B380)),ISNUMBER(SEARCH("globe",C380)),ISNUMBER(SEARCH("marketing",C380)),ISNUMBER(SEARCH("actor",B380))),"Media",OR(ISNUMBER(SEARCH("rbc",C380)),ISNUMBER(SEARCH("cibc",C380)),ISNUMBER(SEARCH("bmo",C380)),ISNUMBER(SEARCH("scotia",C380)),ISNUMBER(SEARCH("bank",C380)),ISNUMBER(SEARCH("capital",C380)),ISNUMBER(SEARCH("wealth",C380)),ISNUMBER(SEARCH("financial",C380)),ISNUMBER(SEARCH("securities",C380)),ISNUMBER(SEARCH("fidelity",C380)),ISNUMBER(SEARCH("guardian",C380)),ISNUMBER(SEARCH("wealthsimple",C380)),ISNUMBER(SEARCH("credit suisse",C380)),ISNUMBER(SEARCH("tmx",C380)),ISNUMBER(SEARCH("investors",C380)),ISNUMBER(SEARCH("trader",B380))),"Finance",OR(ISNUMBER(SEARCH("ventures",C380)),ISNUMBER(SEARCH("private equity",B380)),ISNUMBER(SEARCH("capital partners",C380))),"Private Equity / VC",OR(ISNUMBER(SEARCH("government",C380)),ISNUMBER(SEARCH("ministry",C380)),ISNUMBER(SEARCH("tribunal",C380)),ISNUMBER(SEARCH("tdsb",C380)),ISNUMBER(SEARCH("public service",C380))),"Government",OR(ISNUMBER(SEARCH("association",C380)),ISNUMBER(SEARCH("institute",C380)),ISNUMBER(SEARCH("foundation",C380))),"Nonprofit",OR(ISNUMBER(SEARCH("software",C380)),ISNUMBER(SEARCH("tech",C380)),ISNUMBER(SEARCH("systems",C380)),ISNUMBER(SEARCH("digital",C380)),ISNUMBER(SEARCH("engineering",C380)),ISNUMBER(SEARCH("solutions",C380))),"Technology",TRUE,"Other")</f>
        <v>Law</v>
      </c>
    </row>
    <row r="381" spans="1:11" x14ac:dyDescent="0.3">
      <c r="A381" s="4" t="s">
        <v>506</v>
      </c>
      <c r="B381" s="4" t="s">
        <v>1482</v>
      </c>
      <c r="C381" s="4" t="s">
        <v>507</v>
      </c>
      <c r="D381" s="4" t="s">
        <v>505</v>
      </c>
      <c r="E381" s="18">
        <v>3475000</v>
      </c>
      <c r="F381" s="5">
        <v>44475</v>
      </c>
      <c r="G381" s="6">
        <v>4.2</v>
      </c>
      <c r="H381" s="9">
        <v>68</v>
      </c>
      <c r="I381" s="10" t="s">
        <v>1055</v>
      </c>
      <c r="J381" s="10" t="s">
        <v>1056</v>
      </c>
      <c r="K381" s="10" t="s">
        <v>1057</v>
      </c>
    </row>
    <row r="382" spans="1:11" x14ac:dyDescent="0.3">
      <c r="A382" s="4" t="s">
        <v>1097</v>
      </c>
      <c r="B382" s="4" t="s">
        <v>71</v>
      </c>
      <c r="C382" s="4" t="s">
        <v>1098</v>
      </c>
      <c r="D382" s="4" t="s">
        <v>1099</v>
      </c>
      <c r="E382" s="18">
        <v>3775000</v>
      </c>
      <c r="F382" s="5">
        <v>45484</v>
      </c>
      <c r="G382" s="6">
        <v>3.39</v>
      </c>
      <c r="H382" s="9">
        <v>68</v>
      </c>
      <c r="I382" s="10" t="s">
        <v>1055</v>
      </c>
      <c r="J382" s="10" t="s">
        <v>1056</v>
      </c>
      <c r="K382" s="10" t="s">
        <v>1057</v>
      </c>
    </row>
    <row r="383" spans="1:11" x14ac:dyDescent="0.3">
      <c r="A383" s="4" t="s">
        <v>1092</v>
      </c>
      <c r="B383" s="4" t="s">
        <v>71</v>
      </c>
      <c r="C383" s="4" t="s">
        <v>1093</v>
      </c>
      <c r="D383" s="4" t="s">
        <v>1094</v>
      </c>
      <c r="E383" s="18">
        <v>3790000</v>
      </c>
      <c r="F383" s="5">
        <v>46098</v>
      </c>
      <c r="G383" s="6">
        <v>3.26</v>
      </c>
      <c r="H383" s="9">
        <v>68</v>
      </c>
      <c r="I383" s="10" t="s">
        <v>1055</v>
      </c>
      <c r="J383" s="10" t="s">
        <v>1056</v>
      </c>
      <c r="K383" s="10" t="s">
        <v>1057</v>
      </c>
    </row>
    <row r="384" spans="1:11" x14ac:dyDescent="0.3">
      <c r="A384" s="4" t="s">
        <v>312</v>
      </c>
      <c r="B384" s="4" t="s">
        <v>313</v>
      </c>
      <c r="C384" s="4" t="s">
        <v>314</v>
      </c>
      <c r="D384" s="4" t="s">
        <v>315</v>
      </c>
      <c r="E384" s="16">
        <v>7030000</v>
      </c>
      <c r="F384" s="5">
        <v>44748</v>
      </c>
      <c r="G384" s="3">
        <v>3.96</v>
      </c>
      <c r="H384" s="9">
        <v>68</v>
      </c>
      <c r="I384" s="10" t="s">
        <v>1055</v>
      </c>
      <c r="J384" s="10" t="s">
        <v>1056</v>
      </c>
      <c r="K384" s="10" t="s">
        <v>1057</v>
      </c>
    </row>
    <row r="385" spans="1:11" x14ac:dyDescent="0.3">
      <c r="A385" s="4" t="s">
        <v>316</v>
      </c>
      <c r="B385" s="4" t="s">
        <v>317</v>
      </c>
      <c r="C385" s="4" t="s">
        <v>318</v>
      </c>
      <c r="D385" s="4" t="s">
        <v>315</v>
      </c>
      <c r="E385" s="16">
        <v>7030000</v>
      </c>
      <c r="F385" s="5">
        <v>44748</v>
      </c>
      <c r="G385" s="6">
        <v>3.96</v>
      </c>
      <c r="H385" s="9">
        <v>68</v>
      </c>
      <c r="I385" s="10" t="s">
        <v>1055</v>
      </c>
      <c r="J385" s="10" t="s">
        <v>1056</v>
      </c>
      <c r="K385" s="10" t="s">
        <v>1057</v>
      </c>
    </row>
    <row r="386" spans="1:11" x14ac:dyDescent="0.3">
      <c r="A386" s="27" t="s">
        <v>1418</v>
      </c>
      <c r="B386" s="27" t="s">
        <v>71</v>
      </c>
      <c r="C386" s="27" t="s">
        <v>1419</v>
      </c>
      <c r="D386" s="27" t="s">
        <v>1425</v>
      </c>
      <c r="E386" s="32" t="s">
        <v>1280</v>
      </c>
      <c r="F386" s="28">
        <v>38454</v>
      </c>
      <c r="G386" s="29">
        <v>3.22</v>
      </c>
      <c r="H386" s="30" cm="1">
        <f t="array" ref="H386">_xlfn.IFS(I386="Founder / Owner",IF(ISNUMBER(SEARCH("owner",B386)),80,96),I386="C-Suite",IF(OR(ISNUMBER(SEARCH("ceo",B386)),ISNUMBER(SEARCH("chief executive",B386))),95,91),I386="Managing Director",86,I386="Partner",IF(OR(ISNUMBER(SEARCH("managing partner",B386)),ISNUMBER(SEARCH("general partner",B386))),88,85),I386="VP / Head",_xlfn.IFS(OR(ISNUMBER(SEARCH("vice president",B386)),ISNUMBER(SEARCH("executive vice",B386))),91,ISNUMBER(SEARCH("svp",B386)),77,TRUE,73),I386="Director",IF(ISNUMBER(SEARCH("principal",B386)),72,71),I386="Individual Contributor",32,OR(ISNUMBER(SEARCH("surgeon",B386)),ISNUMBER(SEARCH("physician",B386)),ISNUMBER(SEARCH("doctor",B386)),ISNUMBER(SEARCH("dentist",B386)),ISNUMBER(SEARCH("psychiat",B386)),ISNUMBER(SEARCH("oncolog",B386)),ISNUMBER(SEARCH("neurolog",B386)),ISNUMBER(SEARCH("patholog",B386)),ISNUMBER(SEARCH("medicine",B386)),ISNUMBER(SEARCH("obgyn",B386))),77,OR(ISNUMBER(SEARCH("portfolio manager",B386)),ISNUMBER(SEARCH("wealth advisor",B386))),81,OR(ISNUMBER(SEARCH("lawyer",B386)),ISNUMBER(SEARCH("attorney",B386))),68,ISNUMBER(SEARCH("counsel",B386)),66,ISNUMBER(SEARCH("professor",B386)),63,OR(ISNUMBER(SEARCH("engineer",B386)),ISNUMBER(SEARCH("consultant",B386))),62,ISNUMBER(SEARCH("senior manager",B386)),64,OR(ISNUMBER(SEARCH("realtor",B386)),ISNUMBER(SEARCH("broker",B386)),ISNUMBER(SEARCH("journalist",B386)),ISNUMBER(SEARCH("columnist",B386)),ISNUMBER(SEARCH("trader",B386)),ISNUMBER(SEARCH("actor",B386))),50,TRUE,60)</f>
        <v>68</v>
      </c>
      <c r="I386" s="31" t="str" cm="1">
        <f t="array" ref="I386">_xlfn.LET(_xlpm.p," "&amp;LOWER(SUBSTITUTE(SUBSTITUTE(SUBSTITUTE(B386,",","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86" s="31" t="str" cm="1">
        <f t="array" ref="J386">_xlfn.IFS(H386&gt;=90,"Very High",H386&gt;=80,"High",H386&gt;=56,"Medium",TRUE,"Low")</f>
        <v>Medium</v>
      </c>
      <c r="K386" s="31" t="str" cm="1">
        <f t="array" ref="K386">_xlfn.IFS(OR(ISNUMBER(SEARCH("hospital",C386)),ISNUMBER(SEARCH("health",C386)),ISNUMBER(SEARCH("medical",C386)),ISNUMBER(SEARCH("clinic",C386)),ISNUMBER(SEARCH("nursing",C386)),ISNUMBER(SEARCH("care cent",C386)),ISNUMBER(SEARCH("physician",B386)),ISNUMBER(SEARCH("doctor",B386)),ISNUMBER(SEARCH("dentist",B386)),ISNUMBER(SEARCH("surgeon",B386)),ISNUMBER(SEARCH("psychiat",B386)),ISNUMBER(SEARCH("medicine",B386))),"Healthcare",OR(ISNUMBER(SEARCH("llp",C386)),ISNUMBER(SEARCH("lawyer",B386)),ISNUMBER(SEARCH("attorney",B386)),ISNUMBER(SEARCH("legal",C386)),ISNUMBER(SEARCH("tetrault",C386)),ISNUMBER(SEARCH("morley",C386)),ISNUMBER(SEARCH("blg",C386)),ISNUMBER(SEARCH("lowy",C386)),ISNUMBER(SEARCH("riley",C386)),ISNUMBER(SEARCH("toomath",C386))),"Law",OR(ISNUMBER(SEARCH("reit",C386)),ISNUMBER(SEARCH("properties",C386)),ISNUMBER(SEARCH("realty",C386)),ISNUMBER(SEARCH("realtor",B386)),ISNUMBER(SEARCH("colliers",C386)),ISNUMBER(SEARCH("re/max",C386)),ISNUMBER(SEARCH("quadreal",C386)),ISNUMBER(SEARCH("vic management",C386))),"Real Estate",OR(ISNUMBER(SEARCH("deloitte",C386)),ISNUMBER(SEARCH("kpmg",C386)),ISNUMBER(SEARCH("pwc",C386)),ISNUMBER(SEARCH("consulting",C386)),ISNUMBER(SEARCH("consultant",B386)),ISNUMBER(SEARCH("advisory",C386)),ISNUMBER(SEARCH("philanthropic",C386)),ISNUMBER(SEARCH("argyle",C386)),ISNUMBER(SEARCH("quinn",C386))),"Consulting",OR(ISNUMBER(SEARCH("media",C386)),ISNUMBER(SEARCH("news",C386)),ISNUMBER(SEARCH("radio",C386)),ISNUMBER(SEARCH("film",C386)),ISNUMBER(SEARCH("journalist",B386)),ISNUMBER(SEARCH("columnist",B386)),ISNUMBER(SEARCH("globe",C386)),ISNUMBER(SEARCH("marketing",C386)),ISNUMBER(SEARCH("actor",B386))),"Media",OR(ISNUMBER(SEARCH("rbc",C386)),ISNUMBER(SEARCH("cibc",C386)),ISNUMBER(SEARCH("bmo",C386)),ISNUMBER(SEARCH("scotia",C386)),ISNUMBER(SEARCH("bank",C386)),ISNUMBER(SEARCH("capital",C386)),ISNUMBER(SEARCH("wealth",C386)),ISNUMBER(SEARCH("financial",C386)),ISNUMBER(SEARCH("securities",C386)),ISNUMBER(SEARCH("fidelity",C386)),ISNUMBER(SEARCH("guardian",C386)),ISNUMBER(SEARCH("wealthsimple",C386)),ISNUMBER(SEARCH("credit suisse",C386)),ISNUMBER(SEARCH("tmx",C386)),ISNUMBER(SEARCH("investors",C386)),ISNUMBER(SEARCH("trader",B386))),"Finance",OR(ISNUMBER(SEARCH("ventures",C386)),ISNUMBER(SEARCH("private equity",B386)),ISNUMBER(SEARCH("capital partners",C386))),"Private Equity / VC",OR(ISNUMBER(SEARCH("government",C386)),ISNUMBER(SEARCH("ministry",C386)),ISNUMBER(SEARCH("tribunal",C386)),ISNUMBER(SEARCH("tdsb",C386)),ISNUMBER(SEARCH("public service",C386))),"Government",OR(ISNUMBER(SEARCH("association",C386)),ISNUMBER(SEARCH("institute",C386)),ISNUMBER(SEARCH("foundation",C386))),"Nonprofit",OR(ISNUMBER(SEARCH("software",C386)),ISNUMBER(SEARCH("tech",C386)),ISNUMBER(SEARCH("systems",C386)),ISNUMBER(SEARCH("digital",C386)),ISNUMBER(SEARCH("engineering",C386)),ISNUMBER(SEARCH("solutions",C386))),"Technology",TRUE,"Other")</f>
        <v>Law</v>
      </c>
    </row>
    <row r="387" spans="1:11" x14ac:dyDescent="0.3">
      <c r="A387" s="11" t="s">
        <v>970</v>
      </c>
      <c r="B387" s="11" t="s">
        <v>71</v>
      </c>
      <c r="C387" s="11" t="s">
        <v>971</v>
      </c>
      <c r="D387" s="11" t="s">
        <v>972</v>
      </c>
      <c r="E387" s="21" t="s">
        <v>1280</v>
      </c>
      <c r="F387" s="33">
        <v>30333</v>
      </c>
      <c r="G387" s="12">
        <v>4.17</v>
      </c>
      <c r="H387" s="9">
        <v>68</v>
      </c>
      <c r="I387" s="10" t="s">
        <v>1055</v>
      </c>
      <c r="J387" s="10" t="s">
        <v>1056</v>
      </c>
      <c r="K387" s="10" t="s">
        <v>1057</v>
      </c>
    </row>
    <row r="388" spans="1:11" x14ac:dyDescent="0.3">
      <c r="A388" s="4" t="s">
        <v>1005</v>
      </c>
      <c r="B388" s="4" t="s">
        <v>71</v>
      </c>
      <c r="C388" s="4" t="s">
        <v>697</v>
      </c>
      <c r="D388" s="4" t="s">
        <v>1006</v>
      </c>
      <c r="E388" s="20" t="s">
        <v>1280</v>
      </c>
      <c r="F388" s="5">
        <v>45523</v>
      </c>
      <c r="G388" s="6">
        <v>4.01</v>
      </c>
      <c r="H388" s="9">
        <v>68</v>
      </c>
      <c r="I388" s="10" t="s">
        <v>1055</v>
      </c>
      <c r="J388" s="10" t="s">
        <v>1056</v>
      </c>
      <c r="K388" s="10" t="s">
        <v>1057</v>
      </c>
    </row>
    <row r="389" spans="1:11" x14ac:dyDescent="0.3">
      <c r="A389" s="7" t="s">
        <v>1023</v>
      </c>
      <c r="B389" s="7" t="s">
        <v>71</v>
      </c>
      <c r="C389" s="7" t="s">
        <v>1024</v>
      </c>
      <c r="D389" s="7" t="s">
        <v>1025</v>
      </c>
      <c r="E389" s="20" t="s">
        <v>1280</v>
      </c>
      <c r="F389" s="34">
        <v>27256</v>
      </c>
      <c r="G389" s="3">
        <v>3.74</v>
      </c>
      <c r="H389" s="9">
        <v>68</v>
      </c>
      <c r="I389" s="10" t="s">
        <v>1055</v>
      </c>
      <c r="J389" s="10" t="s">
        <v>1056</v>
      </c>
      <c r="K389" s="10" t="s">
        <v>1057</v>
      </c>
    </row>
    <row r="390" spans="1:11" x14ac:dyDescent="0.3">
      <c r="A390" s="4" t="s">
        <v>825</v>
      </c>
      <c r="B390" s="4" t="s">
        <v>826</v>
      </c>
      <c r="C390" s="4" t="s">
        <v>827</v>
      </c>
      <c r="D390" s="4" t="s">
        <v>824</v>
      </c>
      <c r="E390" s="18">
        <v>1650000</v>
      </c>
      <c r="F390" s="5">
        <v>42825</v>
      </c>
      <c r="G390" s="6">
        <v>4.21</v>
      </c>
      <c r="H390" s="9">
        <v>66</v>
      </c>
      <c r="I390" s="10" t="s">
        <v>1055</v>
      </c>
      <c r="J390" s="10" t="s">
        <v>1056</v>
      </c>
      <c r="K390" s="10" t="s">
        <v>1057</v>
      </c>
    </row>
    <row r="391" spans="1:11" x14ac:dyDescent="0.3">
      <c r="A391" s="4" t="s">
        <v>1177</v>
      </c>
      <c r="B391" s="4" t="s">
        <v>1178</v>
      </c>
      <c r="C391" s="4" t="s">
        <v>1487</v>
      </c>
      <c r="D391" s="4" t="s">
        <v>1179</v>
      </c>
      <c r="E391" s="18">
        <v>1950000</v>
      </c>
      <c r="F391" s="5">
        <v>40148</v>
      </c>
      <c r="G391" s="6">
        <v>3.46</v>
      </c>
      <c r="H391" s="9">
        <v>66</v>
      </c>
      <c r="I391" s="10" t="s">
        <v>1055</v>
      </c>
      <c r="J391" s="10" t="s">
        <v>1056</v>
      </c>
      <c r="K391" s="10" t="s">
        <v>1059</v>
      </c>
    </row>
    <row r="392" spans="1:11" x14ac:dyDescent="0.3">
      <c r="A392" s="4" t="s">
        <v>146</v>
      </c>
      <c r="B392" s="4" t="s">
        <v>300</v>
      </c>
      <c r="C392" s="4" t="s">
        <v>299</v>
      </c>
      <c r="D392" s="4" t="s">
        <v>147</v>
      </c>
      <c r="E392" s="18">
        <v>2001964</v>
      </c>
      <c r="F392" s="5">
        <v>45280</v>
      </c>
      <c r="G392" s="6">
        <v>2.944</v>
      </c>
      <c r="H392" s="9">
        <v>66</v>
      </c>
      <c r="I392" s="10" t="s">
        <v>1055</v>
      </c>
      <c r="J392" s="10" t="s">
        <v>1056</v>
      </c>
      <c r="K392" s="10" t="s">
        <v>1057</v>
      </c>
    </row>
    <row r="393" spans="1:11" x14ac:dyDescent="0.3">
      <c r="A393" s="11" t="s">
        <v>281</v>
      </c>
      <c r="B393" s="11" t="s">
        <v>282</v>
      </c>
      <c r="C393" s="11" t="s">
        <v>283</v>
      </c>
      <c r="D393" s="11" t="s">
        <v>214</v>
      </c>
      <c r="E393" s="17">
        <v>2881045</v>
      </c>
      <c r="F393" s="33">
        <v>44593</v>
      </c>
      <c r="G393" s="12">
        <v>4.5339999999999998</v>
      </c>
      <c r="H393" s="9">
        <v>66</v>
      </c>
      <c r="I393" s="10" t="s">
        <v>1055</v>
      </c>
      <c r="J393" s="10" t="s">
        <v>1056</v>
      </c>
      <c r="K393" s="10" t="s">
        <v>1051</v>
      </c>
    </row>
    <row r="394" spans="1:11" x14ac:dyDescent="0.3">
      <c r="A394" s="4" t="s">
        <v>78</v>
      </c>
      <c r="B394" s="4" t="s">
        <v>1532</v>
      </c>
      <c r="C394" s="4" t="s">
        <v>79</v>
      </c>
      <c r="D394" s="4" t="s">
        <v>80</v>
      </c>
      <c r="E394" s="18">
        <v>1285000</v>
      </c>
      <c r="F394" s="5">
        <v>44183</v>
      </c>
      <c r="G394" s="3">
        <v>4.625</v>
      </c>
      <c r="H394" s="9">
        <v>64</v>
      </c>
      <c r="I394" s="10" t="s">
        <v>1055</v>
      </c>
      <c r="J394" s="10" t="s">
        <v>1056</v>
      </c>
      <c r="K394" s="10" t="s">
        <v>1062</v>
      </c>
    </row>
    <row r="395" spans="1:11" x14ac:dyDescent="0.3">
      <c r="A395" s="11" t="s">
        <v>108</v>
      </c>
      <c r="B395" s="11" t="s">
        <v>109</v>
      </c>
      <c r="C395" s="11" t="s">
        <v>110</v>
      </c>
      <c r="D395" s="11" t="s">
        <v>111</v>
      </c>
      <c r="E395" s="17">
        <v>1750000</v>
      </c>
      <c r="F395" s="33">
        <v>44302</v>
      </c>
      <c r="G395" s="12">
        <v>4.4850000000000003</v>
      </c>
      <c r="H395" s="9">
        <v>64</v>
      </c>
      <c r="I395" s="10" t="s">
        <v>1055</v>
      </c>
      <c r="J395" s="10" t="s">
        <v>1056</v>
      </c>
      <c r="K395" s="10" t="s">
        <v>1066</v>
      </c>
    </row>
    <row r="396" spans="1:11" x14ac:dyDescent="0.3">
      <c r="A396" s="4" t="s">
        <v>204</v>
      </c>
      <c r="B396" s="4" t="s">
        <v>205</v>
      </c>
      <c r="C396" s="4" t="s">
        <v>181</v>
      </c>
      <c r="D396" s="4" t="s">
        <v>171</v>
      </c>
      <c r="E396" s="18">
        <v>2178000</v>
      </c>
      <c r="F396" s="5">
        <v>44853</v>
      </c>
      <c r="G396" s="3">
        <v>4.468</v>
      </c>
      <c r="H396" s="9">
        <v>64</v>
      </c>
      <c r="I396" s="10" t="s">
        <v>1055</v>
      </c>
      <c r="J396" s="10" t="s">
        <v>1056</v>
      </c>
      <c r="K396" s="10" t="s">
        <v>1065</v>
      </c>
    </row>
    <row r="397" spans="1:11" x14ac:dyDescent="0.3">
      <c r="A397" s="11" t="s">
        <v>521</v>
      </c>
      <c r="B397" s="11" t="s">
        <v>522</v>
      </c>
      <c r="C397" s="11" t="s">
        <v>523</v>
      </c>
      <c r="D397" s="11" t="s">
        <v>520</v>
      </c>
      <c r="E397" s="17">
        <v>3295000</v>
      </c>
      <c r="F397" s="33">
        <v>45743</v>
      </c>
      <c r="G397" s="12">
        <v>3.92</v>
      </c>
      <c r="H397" s="9">
        <v>64</v>
      </c>
      <c r="I397" s="10" t="s">
        <v>1055</v>
      </c>
      <c r="J397" s="10" t="s">
        <v>1056</v>
      </c>
      <c r="K397" s="10" t="s">
        <v>1054</v>
      </c>
    </row>
    <row r="398" spans="1:11" x14ac:dyDescent="0.3">
      <c r="A398" s="4" t="s">
        <v>352</v>
      </c>
      <c r="B398" s="4" t="s">
        <v>353</v>
      </c>
      <c r="C398" s="4" t="s">
        <v>354</v>
      </c>
      <c r="D398" s="4" t="s">
        <v>355</v>
      </c>
      <c r="E398" s="16">
        <v>5525000</v>
      </c>
      <c r="F398" s="5">
        <v>45464</v>
      </c>
      <c r="G398" s="6">
        <v>3.86</v>
      </c>
      <c r="H398" s="9">
        <v>64</v>
      </c>
      <c r="I398" s="10" t="s">
        <v>1055</v>
      </c>
      <c r="J398" s="10" t="s">
        <v>1056</v>
      </c>
      <c r="K398" s="10" t="s">
        <v>1051</v>
      </c>
    </row>
    <row r="399" spans="1:11" x14ac:dyDescent="0.3">
      <c r="A399" s="4" t="s">
        <v>909</v>
      </c>
      <c r="B399" s="4" t="s">
        <v>432</v>
      </c>
      <c r="C399" s="4" t="s">
        <v>519</v>
      </c>
      <c r="D399" s="4" t="s">
        <v>908</v>
      </c>
      <c r="E399" s="18">
        <v>1200000</v>
      </c>
      <c r="F399" s="5">
        <v>38202</v>
      </c>
      <c r="G399" s="6">
        <v>3.78</v>
      </c>
      <c r="H399" s="9">
        <v>63</v>
      </c>
      <c r="I399" s="10" t="s">
        <v>1055</v>
      </c>
      <c r="J399" s="10" t="s">
        <v>1056</v>
      </c>
      <c r="K399" s="10" t="s">
        <v>1051</v>
      </c>
    </row>
    <row r="400" spans="1:11" x14ac:dyDescent="0.3">
      <c r="A400" s="11" t="s">
        <v>543</v>
      </c>
      <c r="B400" s="11" t="s">
        <v>432</v>
      </c>
      <c r="C400" s="11" t="s">
        <v>544</v>
      </c>
      <c r="D400" s="11" t="s">
        <v>542</v>
      </c>
      <c r="E400" s="17">
        <v>3101000</v>
      </c>
      <c r="F400" s="33">
        <v>42300</v>
      </c>
      <c r="G400" s="12">
        <v>4.25</v>
      </c>
      <c r="H400" s="9">
        <v>63</v>
      </c>
      <c r="I400" s="10" t="s">
        <v>1055</v>
      </c>
      <c r="J400" s="10" t="s">
        <v>1056</v>
      </c>
      <c r="K400" s="10" t="s">
        <v>1051</v>
      </c>
    </row>
    <row r="401" spans="1:11" x14ac:dyDescent="0.3">
      <c r="A401" s="11" t="s">
        <v>431</v>
      </c>
      <c r="B401" s="11" t="s">
        <v>432</v>
      </c>
      <c r="C401" s="13" t="s">
        <v>433</v>
      </c>
      <c r="D401" s="13" t="s">
        <v>434</v>
      </c>
      <c r="E401" s="17">
        <v>4000000</v>
      </c>
      <c r="F401" s="33">
        <v>44055</v>
      </c>
      <c r="G401" s="14">
        <v>3.99</v>
      </c>
      <c r="H401" s="9">
        <v>63</v>
      </c>
      <c r="I401" s="10" t="s">
        <v>1055</v>
      </c>
      <c r="J401" s="10" t="s">
        <v>1056</v>
      </c>
      <c r="K401" s="10" t="s">
        <v>1051</v>
      </c>
    </row>
    <row r="402" spans="1:11" x14ac:dyDescent="0.3">
      <c r="A402" s="11" t="s">
        <v>1090</v>
      </c>
      <c r="B402" s="11" t="s">
        <v>1520</v>
      </c>
      <c r="C402" s="13" t="s">
        <v>433</v>
      </c>
      <c r="D402" s="13" t="s">
        <v>1091</v>
      </c>
      <c r="E402" s="17">
        <v>4044000</v>
      </c>
      <c r="F402" s="33">
        <v>45975</v>
      </c>
      <c r="G402" s="14">
        <v>3.38</v>
      </c>
      <c r="H402" s="9">
        <v>63</v>
      </c>
      <c r="I402" s="10" t="s">
        <v>1055</v>
      </c>
      <c r="J402" s="10" t="s">
        <v>1056</v>
      </c>
      <c r="K402" s="10" t="s">
        <v>1064</v>
      </c>
    </row>
    <row r="403" spans="1:11" x14ac:dyDescent="0.3">
      <c r="A403" s="4" t="s">
        <v>923</v>
      </c>
      <c r="B403" s="4" t="s">
        <v>924</v>
      </c>
      <c r="C403" s="4" t="s">
        <v>925</v>
      </c>
      <c r="D403" s="4" t="s">
        <v>926</v>
      </c>
      <c r="E403" s="18">
        <v>1100000</v>
      </c>
      <c r="F403" s="5">
        <v>41095</v>
      </c>
      <c r="G403" s="6">
        <v>4.1900000000000004</v>
      </c>
      <c r="H403" s="9">
        <v>62</v>
      </c>
      <c r="I403" s="10" t="s">
        <v>1055</v>
      </c>
      <c r="J403" s="10" t="s">
        <v>1056</v>
      </c>
      <c r="K403" s="10" t="s">
        <v>1062</v>
      </c>
    </row>
    <row r="404" spans="1:11" x14ac:dyDescent="0.3">
      <c r="A404" s="4" t="s">
        <v>910</v>
      </c>
      <c r="B404" s="4" t="s">
        <v>911</v>
      </c>
      <c r="C404" s="4" t="s">
        <v>912</v>
      </c>
      <c r="D404" s="4" t="s">
        <v>913</v>
      </c>
      <c r="E404" s="18">
        <v>1180000</v>
      </c>
      <c r="F404" s="5">
        <v>42521</v>
      </c>
      <c r="G404" s="6">
        <v>4.25</v>
      </c>
      <c r="H404" s="9">
        <v>62</v>
      </c>
      <c r="I404" s="10" t="s">
        <v>1055</v>
      </c>
      <c r="J404" s="10" t="s">
        <v>1056</v>
      </c>
      <c r="K404" s="10" t="s">
        <v>1062</v>
      </c>
    </row>
    <row r="405" spans="1:11" x14ac:dyDescent="0.3">
      <c r="A405" s="7" t="s">
        <v>892</v>
      </c>
      <c r="B405" s="7" t="s">
        <v>893</v>
      </c>
      <c r="C405" s="7" t="s">
        <v>894</v>
      </c>
      <c r="D405" s="7" t="s">
        <v>895</v>
      </c>
      <c r="E405" s="16">
        <v>1252000</v>
      </c>
      <c r="F405" s="34">
        <v>40786</v>
      </c>
      <c r="G405" s="3">
        <v>3.69</v>
      </c>
      <c r="H405" s="9">
        <v>62</v>
      </c>
      <c r="I405" s="10" t="s">
        <v>1055</v>
      </c>
      <c r="J405" s="10" t="s">
        <v>1056</v>
      </c>
      <c r="K405" s="10" t="s">
        <v>1065</v>
      </c>
    </row>
    <row r="406" spans="1:11" x14ac:dyDescent="0.3">
      <c r="A406" s="27" t="s">
        <v>1403</v>
      </c>
      <c r="B406" s="27" t="s">
        <v>1011</v>
      </c>
      <c r="C406" s="27" t="s">
        <v>1464</v>
      </c>
      <c r="D406" s="27" t="s">
        <v>1385</v>
      </c>
      <c r="E406" s="32">
        <v>1570000</v>
      </c>
      <c r="F406" s="28">
        <v>40878</v>
      </c>
      <c r="G406" s="29">
        <v>3.17</v>
      </c>
      <c r="H406" s="30" cm="1">
        <f t="array" ref="H406">_xlfn.IFS(I406="Founder / Owner",IF(ISNUMBER(SEARCH("owner",B406)),80,96),I406="C-Suite",IF(OR(ISNUMBER(SEARCH("ceo",B406)),ISNUMBER(SEARCH("chief executive",B406))),95,91),I406="Managing Director",86,I406="Partner",IF(OR(ISNUMBER(SEARCH("managing partner",B406)),ISNUMBER(SEARCH("general partner",B406))),88,85),I406="VP / Head",_xlfn.IFS(OR(ISNUMBER(SEARCH("vice president",B406)),ISNUMBER(SEARCH("executive vice",B406))),91,ISNUMBER(SEARCH("svp",B406)),77,TRUE,73),I406="Director",IF(ISNUMBER(SEARCH("principal",B406)),72,71),I406="Individual Contributor",32,OR(ISNUMBER(SEARCH("surgeon",B406)),ISNUMBER(SEARCH("physician",B406)),ISNUMBER(SEARCH("doctor",B406)),ISNUMBER(SEARCH("dentist",B406)),ISNUMBER(SEARCH("psychiat",B406)),ISNUMBER(SEARCH("oncolog",B406)),ISNUMBER(SEARCH("neurolog",B406)),ISNUMBER(SEARCH("patholog",B406)),ISNUMBER(SEARCH("medicine",B406)),ISNUMBER(SEARCH("obgyn",B406))),77,OR(ISNUMBER(SEARCH("portfolio manager",B406)),ISNUMBER(SEARCH("wealth advisor",B406))),81,OR(ISNUMBER(SEARCH("lawyer",B406)),ISNUMBER(SEARCH("attorney",B406))),68,ISNUMBER(SEARCH("counsel",B406)),66,ISNUMBER(SEARCH("professor",B406)),63,OR(ISNUMBER(SEARCH("engineer",B406)),ISNUMBER(SEARCH("consultant",B406))),62,ISNUMBER(SEARCH("senior manager",B406)),64,OR(ISNUMBER(SEARCH("realtor",B406)),ISNUMBER(SEARCH("broker",B406)),ISNUMBER(SEARCH("journalist",B406)),ISNUMBER(SEARCH("columnist",B406)),ISNUMBER(SEARCH("trader",B406)),ISNUMBER(SEARCH("actor",B406))),50,TRUE,60)</f>
        <v>62</v>
      </c>
      <c r="I406" s="31" t="str" cm="1">
        <f t="array" ref="I406">_xlfn.LET(_xlpm.p," "&amp;LOWER(SUBSTITUTE(SUBSTITUTE(SUBSTITUTE(B406,",","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6" s="31" t="str" cm="1">
        <f t="array" ref="J406">_xlfn.IFS(H406&gt;=90,"Very High",H406&gt;=80,"High",H406&gt;=56,"Medium",TRUE,"Low")</f>
        <v>Medium</v>
      </c>
      <c r="K406" s="31" t="str" cm="1">
        <f t="array" ref="K406">_xlfn.IFS(OR(ISNUMBER(SEARCH("hospital",C406)),ISNUMBER(SEARCH("health",C406)),ISNUMBER(SEARCH("medical",C406)),ISNUMBER(SEARCH("clinic",C406)),ISNUMBER(SEARCH("nursing",C406)),ISNUMBER(SEARCH("care cent",C406)),ISNUMBER(SEARCH("physician",B406)),ISNUMBER(SEARCH("doctor",B406)),ISNUMBER(SEARCH("dentist",B406)),ISNUMBER(SEARCH("surgeon",B406)),ISNUMBER(SEARCH("psychiat",B406)),ISNUMBER(SEARCH("medicine",B406))),"Healthcare",OR(ISNUMBER(SEARCH("llp",C406)),ISNUMBER(SEARCH("lawyer",B406)),ISNUMBER(SEARCH("attorney",B406)),ISNUMBER(SEARCH("legal",C406)),ISNUMBER(SEARCH("tetrault",C406)),ISNUMBER(SEARCH("morley",C406)),ISNUMBER(SEARCH("blg",C406)),ISNUMBER(SEARCH("lowy",C406)),ISNUMBER(SEARCH("riley",C406)),ISNUMBER(SEARCH("toomath",C406))),"Law",OR(ISNUMBER(SEARCH("reit",C406)),ISNUMBER(SEARCH("properties",C406)),ISNUMBER(SEARCH("realty",C406)),ISNUMBER(SEARCH("realtor",B406)),ISNUMBER(SEARCH("colliers",C406)),ISNUMBER(SEARCH("re/max",C406)),ISNUMBER(SEARCH("quadreal",C406)),ISNUMBER(SEARCH("vic management",C406))),"Real Estate",OR(ISNUMBER(SEARCH("deloitte",C406)),ISNUMBER(SEARCH("kpmg",C406)),ISNUMBER(SEARCH("pwc",C406)),ISNUMBER(SEARCH("consulting",C406)),ISNUMBER(SEARCH("consultant",B406)),ISNUMBER(SEARCH("advisory",C406)),ISNUMBER(SEARCH("philanthropic",C406)),ISNUMBER(SEARCH("argyle",C406)),ISNUMBER(SEARCH("quinn",C406))),"Consulting",OR(ISNUMBER(SEARCH("media",C406)),ISNUMBER(SEARCH("news",C406)),ISNUMBER(SEARCH("radio",C406)),ISNUMBER(SEARCH("film",C406)),ISNUMBER(SEARCH("journalist",B406)),ISNUMBER(SEARCH("columnist",B406)),ISNUMBER(SEARCH("globe",C406)),ISNUMBER(SEARCH("marketing",C406)),ISNUMBER(SEARCH("actor",B406))),"Media",OR(ISNUMBER(SEARCH("rbc",C406)),ISNUMBER(SEARCH("cibc",C406)),ISNUMBER(SEARCH("bmo",C406)),ISNUMBER(SEARCH("scotia",C406)),ISNUMBER(SEARCH("bank",C406)),ISNUMBER(SEARCH("capital",C406)),ISNUMBER(SEARCH("wealth",C406)),ISNUMBER(SEARCH("financial",C406)),ISNUMBER(SEARCH("securities",C406)),ISNUMBER(SEARCH("fidelity",C406)),ISNUMBER(SEARCH("guardian",C406)),ISNUMBER(SEARCH("wealthsimple",C406)),ISNUMBER(SEARCH("credit suisse",C406)),ISNUMBER(SEARCH("tmx",C406)),ISNUMBER(SEARCH("investors",C406)),ISNUMBER(SEARCH("trader",B406))),"Finance",OR(ISNUMBER(SEARCH("ventures",C406)),ISNUMBER(SEARCH("private equity",B406)),ISNUMBER(SEARCH("capital partners",C406))),"Private Equity / VC",OR(ISNUMBER(SEARCH("government",C406)),ISNUMBER(SEARCH("ministry",C406)),ISNUMBER(SEARCH("tribunal",C406)),ISNUMBER(SEARCH("tdsb",C406)),ISNUMBER(SEARCH("public service",C406))),"Government",OR(ISNUMBER(SEARCH("association",C406)),ISNUMBER(SEARCH("institute",C406)),ISNUMBER(SEARCH("foundation",C406))),"Nonprofit",OR(ISNUMBER(SEARCH("software",C406)),ISNUMBER(SEARCH("tech",C406)),ISNUMBER(SEARCH("systems",C406)),ISNUMBER(SEARCH("digital",C406)),ISNUMBER(SEARCH("engineering",C406)),ISNUMBER(SEARCH("solutions",C406))),"Technology",TRUE,"Other")</f>
        <v>Other</v>
      </c>
    </row>
    <row r="407" spans="1:11" x14ac:dyDescent="0.3">
      <c r="A407" s="27" t="s">
        <v>1406</v>
      </c>
      <c r="B407" s="27" t="s">
        <v>289</v>
      </c>
      <c r="C407" s="27" t="s">
        <v>1461</v>
      </c>
      <c r="D407" s="27" t="s">
        <v>1392</v>
      </c>
      <c r="E407" s="32">
        <v>1704000</v>
      </c>
      <c r="F407" s="28">
        <v>40602</v>
      </c>
      <c r="G407" s="29">
        <v>3.27</v>
      </c>
      <c r="H407" s="30" cm="1">
        <f t="array" ref="H407">_xlfn.IFS(I407="Founder / Owner",IF(ISNUMBER(SEARCH("owner",B407)),80,96),I407="C-Suite",IF(OR(ISNUMBER(SEARCH("ceo",B407)),ISNUMBER(SEARCH("chief executive",B407))),95,91),I407="Managing Director",86,I407="Partner",IF(OR(ISNUMBER(SEARCH("managing partner",B407)),ISNUMBER(SEARCH("general partner",B407))),88,85),I407="VP / Head",_xlfn.IFS(OR(ISNUMBER(SEARCH("vice president",B407)),ISNUMBER(SEARCH("executive vice",B407))),91,ISNUMBER(SEARCH("svp",B407)),77,TRUE,73),I407="Director",IF(ISNUMBER(SEARCH("principal",B407)),72,71),I407="Individual Contributor",32,OR(ISNUMBER(SEARCH("surgeon",B407)),ISNUMBER(SEARCH("physician",B407)),ISNUMBER(SEARCH("doctor",B407)),ISNUMBER(SEARCH("dentist",B407)),ISNUMBER(SEARCH("psychiat",B407)),ISNUMBER(SEARCH("oncolog",B407)),ISNUMBER(SEARCH("neurolog",B407)),ISNUMBER(SEARCH("patholog",B407)),ISNUMBER(SEARCH("medicine",B407)),ISNUMBER(SEARCH("obgyn",B407))),77,OR(ISNUMBER(SEARCH("portfolio manager",B407)),ISNUMBER(SEARCH("wealth advisor",B407))),81,OR(ISNUMBER(SEARCH("lawyer",B407)),ISNUMBER(SEARCH("attorney",B407))),68,ISNUMBER(SEARCH("counsel",B407)),66,ISNUMBER(SEARCH("professor",B407)),63,OR(ISNUMBER(SEARCH("engineer",B407)),ISNUMBER(SEARCH("consultant",B407))),62,ISNUMBER(SEARCH("senior manager",B407)),64,OR(ISNUMBER(SEARCH("realtor",B407)),ISNUMBER(SEARCH("broker",B407)),ISNUMBER(SEARCH("journalist",B407)),ISNUMBER(SEARCH("columnist",B407)),ISNUMBER(SEARCH("trader",B407)),ISNUMBER(SEARCH("actor",B407))),50,TRUE,60)</f>
        <v>62</v>
      </c>
      <c r="I407" s="31" t="str" cm="1">
        <f t="array" ref="I407">_xlfn.LET(_xlpm.p," "&amp;LOWER(SUBSTITUTE(SUBSTITUTE(SUBSTITUTE(B407,",","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7" s="31" t="str" cm="1">
        <f t="array" ref="J407">_xlfn.IFS(H407&gt;=90,"Very High",H407&gt;=80,"High",H407&gt;=56,"Medium",TRUE,"Low")</f>
        <v>Medium</v>
      </c>
      <c r="K407" s="31" t="str" cm="1">
        <f t="array" ref="K407">_xlfn.IFS(OR(ISNUMBER(SEARCH("hospital",C407)),ISNUMBER(SEARCH("health",C407)),ISNUMBER(SEARCH("medical",C407)),ISNUMBER(SEARCH("clinic",C407)),ISNUMBER(SEARCH("nursing",C407)),ISNUMBER(SEARCH("care cent",C407)),ISNUMBER(SEARCH("physician",B407)),ISNUMBER(SEARCH("doctor",B407)),ISNUMBER(SEARCH("dentist",B407)),ISNUMBER(SEARCH("surgeon",B407)),ISNUMBER(SEARCH("psychiat",B407)),ISNUMBER(SEARCH("medicine",B407))),"Healthcare",OR(ISNUMBER(SEARCH("llp",C407)),ISNUMBER(SEARCH("lawyer",B407)),ISNUMBER(SEARCH("attorney",B407)),ISNUMBER(SEARCH("legal",C407)),ISNUMBER(SEARCH("tetrault",C407)),ISNUMBER(SEARCH("morley",C407)),ISNUMBER(SEARCH("blg",C407)),ISNUMBER(SEARCH("lowy",C407)),ISNUMBER(SEARCH("riley",C407)),ISNUMBER(SEARCH("toomath",C407))),"Law",OR(ISNUMBER(SEARCH("reit",C407)),ISNUMBER(SEARCH("properties",C407)),ISNUMBER(SEARCH("realty",C407)),ISNUMBER(SEARCH("realtor",B407)),ISNUMBER(SEARCH("colliers",C407)),ISNUMBER(SEARCH("re/max",C407)),ISNUMBER(SEARCH("quadreal",C407)),ISNUMBER(SEARCH("vic management",C407))),"Real Estate",OR(ISNUMBER(SEARCH("deloitte",C407)),ISNUMBER(SEARCH("kpmg",C407)),ISNUMBER(SEARCH("pwc",C407)),ISNUMBER(SEARCH("consulting",C407)),ISNUMBER(SEARCH("consultant",B407)),ISNUMBER(SEARCH("advisory",C407)),ISNUMBER(SEARCH("philanthropic",C407)),ISNUMBER(SEARCH("argyle",C407)),ISNUMBER(SEARCH("quinn",C407))),"Consulting",OR(ISNUMBER(SEARCH("media",C407)),ISNUMBER(SEARCH("news",C407)),ISNUMBER(SEARCH("radio",C407)),ISNUMBER(SEARCH("film",C407)),ISNUMBER(SEARCH("journalist",B407)),ISNUMBER(SEARCH("columnist",B407)),ISNUMBER(SEARCH("globe",C407)),ISNUMBER(SEARCH("marketing",C407)),ISNUMBER(SEARCH("actor",B407))),"Media",OR(ISNUMBER(SEARCH("rbc",C407)),ISNUMBER(SEARCH("cibc",C407)),ISNUMBER(SEARCH("bmo",C407)),ISNUMBER(SEARCH("scotia",C407)),ISNUMBER(SEARCH("bank",C407)),ISNUMBER(SEARCH("capital",C407)),ISNUMBER(SEARCH("wealth",C407)),ISNUMBER(SEARCH("financial",C407)),ISNUMBER(SEARCH("securities",C407)),ISNUMBER(SEARCH("fidelity",C407)),ISNUMBER(SEARCH("guardian",C407)),ISNUMBER(SEARCH("wealthsimple",C407)),ISNUMBER(SEARCH("credit suisse",C407)),ISNUMBER(SEARCH("tmx",C407)),ISNUMBER(SEARCH("investors",C407)),ISNUMBER(SEARCH("trader",B407))),"Finance",OR(ISNUMBER(SEARCH("ventures",C407)),ISNUMBER(SEARCH("private equity",B407)),ISNUMBER(SEARCH("capital partners",C407))),"Private Equity / VC",OR(ISNUMBER(SEARCH("government",C407)),ISNUMBER(SEARCH("ministry",C407)),ISNUMBER(SEARCH("tribunal",C407)),ISNUMBER(SEARCH("tdsb",C407)),ISNUMBER(SEARCH("public service",C407))),"Government",OR(ISNUMBER(SEARCH("association",C407)),ISNUMBER(SEARCH("institute",C407)),ISNUMBER(SEARCH("foundation",C407))),"Nonprofit",OR(ISNUMBER(SEARCH("software",C407)),ISNUMBER(SEARCH("tech",C407)),ISNUMBER(SEARCH("systems",C407)),ISNUMBER(SEARCH("digital",C407)),ISNUMBER(SEARCH("engineering",C407)),ISNUMBER(SEARCH("solutions",C407))),"Technology",TRUE,"Other")</f>
        <v>Consulting</v>
      </c>
    </row>
    <row r="408" spans="1:11" x14ac:dyDescent="0.3">
      <c r="A408" s="4" t="s">
        <v>1182</v>
      </c>
      <c r="B408" s="4" t="s">
        <v>1230</v>
      </c>
      <c r="C408" s="4" t="s">
        <v>1183</v>
      </c>
      <c r="D408" s="4" t="s">
        <v>1184</v>
      </c>
      <c r="E408" s="18">
        <v>1739800</v>
      </c>
      <c r="F408" s="5">
        <v>42016</v>
      </c>
      <c r="G408" s="3">
        <v>3.48</v>
      </c>
      <c r="H408" s="9">
        <v>62</v>
      </c>
      <c r="I408" s="10" t="s">
        <v>1055</v>
      </c>
      <c r="J408" s="10" t="s">
        <v>1056</v>
      </c>
      <c r="K408" s="10" t="s">
        <v>1062</v>
      </c>
    </row>
    <row r="409" spans="1:11" x14ac:dyDescent="0.3">
      <c r="A409" s="4" t="s">
        <v>244</v>
      </c>
      <c r="B409" s="4" t="s">
        <v>289</v>
      </c>
      <c r="C409" s="4" t="s">
        <v>181</v>
      </c>
      <c r="D409" s="4" t="s">
        <v>245</v>
      </c>
      <c r="E409" s="18">
        <v>2330000</v>
      </c>
      <c r="F409" s="5">
        <v>45182</v>
      </c>
      <c r="G409" s="6">
        <v>4.6630000000000003</v>
      </c>
      <c r="H409" s="9">
        <v>62</v>
      </c>
      <c r="I409" s="10" t="s">
        <v>1055</v>
      </c>
      <c r="J409" s="10" t="s">
        <v>1056</v>
      </c>
      <c r="K409" s="10" t="s">
        <v>1065</v>
      </c>
    </row>
    <row r="410" spans="1:11" x14ac:dyDescent="0.3">
      <c r="A410" s="4" t="s">
        <v>571</v>
      </c>
      <c r="B410" s="4" t="s">
        <v>572</v>
      </c>
      <c r="C410" s="4" t="s">
        <v>573</v>
      </c>
      <c r="D410" s="4" t="s">
        <v>574</v>
      </c>
      <c r="E410" s="18">
        <v>2895000</v>
      </c>
      <c r="F410" s="5">
        <v>42293</v>
      </c>
      <c r="G410" s="6">
        <v>3.84</v>
      </c>
      <c r="H410" s="9">
        <v>62</v>
      </c>
      <c r="I410" s="10" t="s">
        <v>1055</v>
      </c>
      <c r="J410" s="10" t="s">
        <v>1056</v>
      </c>
      <c r="K410" s="10" t="s">
        <v>1065</v>
      </c>
    </row>
    <row r="411" spans="1:11" x14ac:dyDescent="0.3">
      <c r="A411" s="7" t="s">
        <v>497</v>
      </c>
      <c r="B411" s="7" t="s">
        <v>289</v>
      </c>
      <c r="C411" s="7" t="s">
        <v>498</v>
      </c>
      <c r="D411" s="7" t="s">
        <v>499</v>
      </c>
      <c r="E411" s="16">
        <v>3512000</v>
      </c>
      <c r="F411" s="34">
        <v>45138</v>
      </c>
      <c r="G411" s="3">
        <v>3.76</v>
      </c>
      <c r="H411" s="9">
        <v>62</v>
      </c>
      <c r="I411" s="10" t="s">
        <v>1055</v>
      </c>
      <c r="J411" s="10" t="s">
        <v>1056</v>
      </c>
      <c r="K411" s="10" t="s">
        <v>1065</v>
      </c>
    </row>
    <row r="412" spans="1:11" x14ac:dyDescent="0.3">
      <c r="A412" s="4" t="s">
        <v>1240</v>
      </c>
      <c r="B412" s="4" t="s">
        <v>1241</v>
      </c>
      <c r="C412" s="4" t="s">
        <v>1242</v>
      </c>
      <c r="D412" s="4" t="s">
        <v>1243</v>
      </c>
      <c r="E412" s="16">
        <v>10000000</v>
      </c>
      <c r="F412" s="5">
        <v>41990</v>
      </c>
      <c r="G412" s="6">
        <v>6.3</v>
      </c>
      <c r="H412" s="9">
        <v>62</v>
      </c>
      <c r="I412" s="10" t="s">
        <v>1055</v>
      </c>
      <c r="J412" s="10" t="s">
        <v>1056</v>
      </c>
      <c r="K412" s="10" t="s">
        <v>1062</v>
      </c>
    </row>
    <row r="413" spans="1:11" x14ac:dyDescent="0.3">
      <c r="A413" s="7" t="s">
        <v>1010</v>
      </c>
      <c r="B413" s="7" t="s">
        <v>1011</v>
      </c>
      <c r="C413" s="7" t="s">
        <v>1012</v>
      </c>
      <c r="D413" s="7" t="s">
        <v>1013</v>
      </c>
      <c r="E413" s="20" t="s">
        <v>1280</v>
      </c>
      <c r="F413" s="34">
        <v>45569</v>
      </c>
      <c r="G413" s="3">
        <v>4.28</v>
      </c>
      <c r="H413" s="9">
        <v>62</v>
      </c>
      <c r="I413" s="10" t="s">
        <v>1055</v>
      </c>
      <c r="J413" s="10" t="s">
        <v>1056</v>
      </c>
      <c r="K413" s="10" t="s">
        <v>1062</v>
      </c>
    </row>
    <row r="414" spans="1:11" x14ac:dyDescent="0.3">
      <c r="A414" s="27" t="s">
        <v>1439</v>
      </c>
      <c r="B414" s="27" t="s">
        <v>1011</v>
      </c>
      <c r="C414" s="27" t="s">
        <v>1477</v>
      </c>
      <c r="D414" s="27" t="s">
        <v>1440</v>
      </c>
      <c r="E414" s="32" t="s">
        <v>1280</v>
      </c>
      <c r="F414" s="28">
        <v>38063</v>
      </c>
      <c r="G414" s="29">
        <v>3.12</v>
      </c>
      <c r="H414" s="30" cm="1">
        <f t="array" ref="H414">_xlfn.IFS(I414="Founder / Owner",IF(ISNUMBER(SEARCH("owner",B414)),80,96),I414="C-Suite",IF(OR(ISNUMBER(SEARCH("ceo",B414)),ISNUMBER(SEARCH("chief executive",B414))),95,91),I414="Managing Director",86,I414="Partner",IF(OR(ISNUMBER(SEARCH("managing partner",B414)),ISNUMBER(SEARCH("general partner",B414))),88,85),I414="VP / Head",_xlfn.IFS(OR(ISNUMBER(SEARCH("vice president",B414)),ISNUMBER(SEARCH("executive vice",B414))),91,ISNUMBER(SEARCH("svp",B414)),77,TRUE,73),I414="Director",IF(ISNUMBER(SEARCH("principal",B414)),72,71),I414="Individual Contributor",32,OR(ISNUMBER(SEARCH("surgeon",B414)),ISNUMBER(SEARCH("physician",B414)),ISNUMBER(SEARCH("doctor",B414)),ISNUMBER(SEARCH("dentist",B414)),ISNUMBER(SEARCH("psychiat",B414)),ISNUMBER(SEARCH("oncolog",B414)),ISNUMBER(SEARCH("neurolog",B414)),ISNUMBER(SEARCH("patholog",B414)),ISNUMBER(SEARCH("medicine",B414)),ISNUMBER(SEARCH("obgyn",B414))),77,OR(ISNUMBER(SEARCH("portfolio manager",B414)),ISNUMBER(SEARCH("wealth advisor",B414))),81,OR(ISNUMBER(SEARCH("lawyer",B414)),ISNUMBER(SEARCH("attorney",B414))),68,ISNUMBER(SEARCH("counsel",B414)),66,ISNUMBER(SEARCH("professor",B414)),63,OR(ISNUMBER(SEARCH("engineer",B414)),ISNUMBER(SEARCH("consultant",B414))),62,ISNUMBER(SEARCH("senior manager",B414)),64,OR(ISNUMBER(SEARCH("realtor",B414)),ISNUMBER(SEARCH("broker",B414)),ISNUMBER(SEARCH("journalist",B414)),ISNUMBER(SEARCH("columnist",B414)),ISNUMBER(SEARCH("trader",B414)),ISNUMBER(SEARCH("actor",B414))),50,TRUE,60)</f>
        <v>62</v>
      </c>
      <c r="I414" s="31" t="str" cm="1">
        <f t="array" ref="I414">_xlfn.LET(_xlpm.p," "&amp;LOWER(SUBSTITUTE(SUBSTITUTE(SUBSTITUTE(B414,",","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4" s="31" t="str" cm="1">
        <f t="array" ref="J414">_xlfn.IFS(H414&gt;=90,"Very High",H414&gt;=80,"High",H414&gt;=56,"Medium",TRUE,"Low")</f>
        <v>Medium</v>
      </c>
      <c r="K414" s="31" t="str" cm="1">
        <f t="array" ref="K414">_xlfn.IFS(OR(ISNUMBER(SEARCH("hospital",C414)),ISNUMBER(SEARCH("health",C414)),ISNUMBER(SEARCH("medical",C414)),ISNUMBER(SEARCH("clinic",C414)),ISNUMBER(SEARCH("nursing",C414)),ISNUMBER(SEARCH("care cent",C414)),ISNUMBER(SEARCH("physician",B414)),ISNUMBER(SEARCH("doctor",B414)),ISNUMBER(SEARCH("dentist",B414)),ISNUMBER(SEARCH("surgeon",B414)),ISNUMBER(SEARCH("psychiat",B414)),ISNUMBER(SEARCH("medicine",B414))),"Healthcare",OR(ISNUMBER(SEARCH("llp",C414)),ISNUMBER(SEARCH("lawyer",B414)),ISNUMBER(SEARCH("attorney",B414)),ISNUMBER(SEARCH("legal",C414)),ISNUMBER(SEARCH("tetrault",C414)),ISNUMBER(SEARCH("morley",C414)),ISNUMBER(SEARCH("blg",C414)),ISNUMBER(SEARCH("lowy",C414)),ISNUMBER(SEARCH("riley",C414)),ISNUMBER(SEARCH("toomath",C414))),"Law",OR(ISNUMBER(SEARCH("reit",C414)),ISNUMBER(SEARCH("properties",C414)),ISNUMBER(SEARCH("realty",C414)),ISNUMBER(SEARCH("realtor",B414)),ISNUMBER(SEARCH("colliers",C414)),ISNUMBER(SEARCH("re/max",C414)),ISNUMBER(SEARCH("quadreal",C414)),ISNUMBER(SEARCH("vic management",C414))),"Real Estate",OR(ISNUMBER(SEARCH("deloitte",C414)),ISNUMBER(SEARCH("kpmg",C414)),ISNUMBER(SEARCH("pwc",C414)),ISNUMBER(SEARCH("consulting",C414)),ISNUMBER(SEARCH("consultant",B414)),ISNUMBER(SEARCH("advisory",C414)),ISNUMBER(SEARCH("philanthropic",C414)),ISNUMBER(SEARCH("argyle",C414)),ISNUMBER(SEARCH("quinn",C414))),"Consulting",OR(ISNUMBER(SEARCH("media",C414)),ISNUMBER(SEARCH("news",C414)),ISNUMBER(SEARCH("radio",C414)),ISNUMBER(SEARCH("film",C414)),ISNUMBER(SEARCH("journalist",B414)),ISNUMBER(SEARCH("columnist",B414)),ISNUMBER(SEARCH("globe",C414)),ISNUMBER(SEARCH("marketing",C414)),ISNUMBER(SEARCH("actor",B414))),"Media",OR(ISNUMBER(SEARCH("rbc",C414)),ISNUMBER(SEARCH("cibc",C414)),ISNUMBER(SEARCH("bmo",C414)),ISNUMBER(SEARCH("scotia",C414)),ISNUMBER(SEARCH("bank",C414)),ISNUMBER(SEARCH("capital",C414)),ISNUMBER(SEARCH("wealth",C414)),ISNUMBER(SEARCH("financial",C414)),ISNUMBER(SEARCH("securities",C414)),ISNUMBER(SEARCH("fidelity",C414)),ISNUMBER(SEARCH("guardian",C414)),ISNUMBER(SEARCH("wealthsimple",C414)),ISNUMBER(SEARCH("credit suisse",C414)),ISNUMBER(SEARCH("tmx",C414)),ISNUMBER(SEARCH("investors",C414)),ISNUMBER(SEARCH("trader",B414))),"Finance",OR(ISNUMBER(SEARCH("ventures",C414)),ISNUMBER(SEARCH("private equity",B414)),ISNUMBER(SEARCH("capital partners",C414))),"Private Equity / VC",OR(ISNUMBER(SEARCH("government",C414)),ISNUMBER(SEARCH("ministry",C414)),ISNUMBER(SEARCH("tribunal",C414)),ISNUMBER(SEARCH("tdsb",C414)),ISNUMBER(SEARCH("public service",C414))),"Government",OR(ISNUMBER(SEARCH("association",C414)),ISNUMBER(SEARCH("institute",C414)),ISNUMBER(SEARCH("foundation",C414))),"Nonprofit",OR(ISNUMBER(SEARCH("software",C414)),ISNUMBER(SEARCH("tech",C414)),ISNUMBER(SEARCH("systems",C414)),ISNUMBER(SEARCH("digital",C414)),ISNUMBER(SEARCH("engineering",C414)),ISNUMBER(SEARCH("solutions",C414))),"Technology",TRUE,"Other")</f>
        <v>Finance</v>
      </c>
    </row>
    <row r="415" spans="1:11" s="26" customFormat="1" x14ac:dyDescent="0.3">
      <c r="A415" s="27" t="s">
        <v>1356</v>
      </c>
      <c r="B415" s="27" t="s">
        <v>1470</v>
      </c>
      <c r="C415" s="27" t="s">
        <v>1471</v>
      </c>
      <c r="D415" s="27" t="s">
        <v>1335</v>
      </c>
      <c r="E415" s="32">
        <v>1165000</v>
      </c>
      <c r="F415" s="28">
        <v>39478</v>
      </c>
      <c r="G415" s="29">
        <v>3.05</v>
      </c>
      <c r="H415" s="30" cm="1">
        <f t="array" ref="H415">_xlfn.IFS(I415="Founder / Owner",IF(ISNUMBER(SEARCH("owner",B415)),80,96),I415="C-Suite",IF(OR(ISNUMBER(SEARCH("ceo",B415)),ISNUMBER(SEARCH("chief executive",B415))),95,91),I415="Managing Director",86,I415="Partner",IF(OR(ISNUMBER(SEARCH("managing partner",B415)),ISNUMBER(SEARCH("general partner",B415))),88,85),I415="VP / Head",_xlfn.IFS(OR(ISNUMBER(SEARCH("vice president",B415)),ISNUMBER(SEARCH("executive vice",B415))),91,ISNUMBER(SEARCH("svp",B415)),77,TRUE,73),I415="Director",IF(ISNUMBER(SEARCH("principal",B415)),72,71),I415="Individual Contributor",32,OR(ISNUMBER(SEARCH("surgeon",B415)),ISNUMBER(SEARCH("physician",B415)),ISNUMBER(SEARCH("doctor",B415)),ISNUMBER(SEARCH("dentist",B415)),ISNUMBER(SEARCH("psychiat",B415)),ISNUMBER(SEARCH("oncolog",B415)),ISNUMBER(SEARCH("neurolog",B415)),ISNUMBER(SEARCH("patholog",B415)),ISNUMBER(SEARCH("medicine",B415)),ISNUMBER(SEARCH("obgyn",B415))),77,OR(ISNUMBER(SEARCH("portfolio manager",B415)),ISNUMBER(SEARCH("wealth advisor",B415))),81,OR(ISNUMBER(SEARCH("lawyer",B415)),ISNUMBER(SEARCH("attorney",B415))),68,ISNUMBER(SEARCH("counsel",B415)),66,ISNUMBER(SEARCH("professor",B415)),63,OR(ISNUMBER(SEARCH("engineer",B415)),ISNUMBER(SEARCH("consultant",B415))),62,ISNUMBER(SEARCH("senior manager",B415)),64,OR(ISNUMBER(SEARCH("realtor",B415)),ISNUMBER(SEARCH("broker",B415)),ISNUMBER(SEARCH("journalist",B415)),ISNUMBER(SEARCH("columnist",B415)),ISNUMBER(SEARCH("trader",B415)),ISNUMBER(SEARCH("actor",B415))),50,TRUE,60)</f>
        <v>60</v>
      </c>
      <c r="I415" s="31" t="str" cm="1">
        <f t="array" ref="I415">_xlfn.LET(_xlpm.p," "&amp;LOWER(SUBSTITUTE(SUBSTITUTE(SUBSTITUTE(B415,",","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5" s="31" t="str" cm="1">
        <f t="array" ref="J415">_xlfn.IFS(H415&gt;=90,"Very High",H415&gt;=80,"High",H415&gt;=56,"Medium",TRUE,"Low")</f>
        <v>Medium</v>
      </c>
      <c r="K415" s="31" t="str" cm="1">
        <f t="array" ref="K415">_xlfn.IFS(OR(ISNUMBER(SEARCH("hospital",C415)),ISNUMBER(SEARCH("health",C415)),ISNUMBER(SEARCH("medical",C415)),ISNUMBER(SEARCH("clinic",C415)),ISNUMBER(SEARCH("nursing",C415)),ISNUMBER(SEARCH("care cent",C415)),ISNUMBER(SEARCH("physician",B415)),ISNUMBER(SEARCH("doctor",B415)),ISNUMBER(SEARCH("dentist",B415)),ISNUMBER(SEARCH("surgeon",B415)),ISNUMBER(SEARCH("psychiat",B415)),ISNUMBER(SEARCH("medicine",B415))),"Healthcare",OR(ISNUMBER(SEARCH("llp",C415)),ISNUMBER(SEARCH("lawyer",B415)),ISNUMBER(SEARCH("attorney",B415)),ISNUMBER(SEARCH("legal",C415)),ISNUMBER(SEARCH("tetrault",C415)),ISNUMBER(SEARCH("morley",C415)),ISNUMBER(SEARCH("blg",C415)),ISNUMBER(SEARCH("lowy",C415)),ISNUMBER(SEARCH("riley",C415)),ISNUMBER(SEARCH("toomath",C415))),"Law",OR(ISNUMBER(SEARCH("reit",C415)),ISNUMBER(SEARCH("properties",C415)),ISNUMBER(SEARCH("realty",C415)),ISNUMBER(SEARCH("realtor",B415)),ISNUMBER(SEARCH("colliers",C415)),ISNUMBER(SEARCH("re/max",C415)),ISNUMBER(SEARCH("quadreal",C415)),ISNUMBER(SEARCH("vic management",C415))),"Real Estate",OR(ISNUMBER(SEARCH("deloitte",C415)),ISNUMBER(SEARCH("kpmg",C415)),ISNUMBER(SEARCH("pwc",C415)),ISNUMBER(SEARCH("consulting",C415)),ISNUMBER(SEARCH("consultant",B415)),ISNUMBER(SEARCH("advisory",C415)),ISNUMBER(SEARCH("philanthropic",C415)),ISNUMBER(SEARCH("argyle",C415)),ISNUMBER(SEARCH("quinn",C415))),"Consulting",OR(ISNUMBER(SEARCH("media",C415)),ISNUMBER(SEARCH("news",C415)),ISNUMBER(SEARCH("radio",C415)),ISNUMBER(SEARCH("film",C415)),ISNUMBER(SEARCH("journalist",B415)),ISNUMBER(SEARCH("columnist",B415)),ISNUMBER(SEARCH("globe",C415)),ISNUMBER(SEARCH("marketing",C415)),ISNUMBER(SEARCH("actor",B415))),"Media",OR(ISNUMBER(SEARCH("rbc",C415)),ISNUMBER(SEARCH("cibc",C415)),ISNUMBER(SEARCH("bmo",C415)),ISNUMBER(SEARCH("scotia",C415)),ISNUMBER(SEARCH("bank",C415)),ISNUMBER(SEARCH("capital",C415)),ISNUMBER(SEARCH("wealth",C415)),ISNUMBER(SEARCH("financial",C415)),ISNUMBER(SEARCH("securities",C415)),ISNUMBER(SEARCH("fidelity",C415)),ISNUMBER(SEARCH("guardian",C415)),ISNUMBER(SEARCH("wealthsimple",C415)),ISNUMBER(SEARCH("credit suisse",C415)),ISNUMBER(SEARCH("tmx",C415)),ISNUMBER(SEARCH("investors",C415)),ISNUMBER(SEARCH("trader",B415))),"Finance",OR(ISNUMBER(SEARCH("ventures",C415)),ISNUMBER(SEARCH("private equity",B415)),ISNUMBER(SEARCH("capital partners",C415))),"Private Equity / VC",OR(ISNUMBER(SEARCH("government",C415)),ISNUMBER(SEARCH("ministry",C415)),ISNUMBER(SEARCH("tribunal",C415)),ISNUMBER(SEARCH("tdsb",C415)),ISNUMBER(SEARCH("public service",C415))),"Government",OR(ISNUMBER(SEARCH("association",C415)),ISNUMBER(SEARCH("institute",C415)),ISNUMBER(SEARCH("foundation",C415))),"Nonprofit",OR(ISNUMBER(SEARCH("software",C415)),ISNUMBER(SEARCH("tech",C415)),ISNUMBER(SEARCH("systems",C415)),ISNUMBER(SEARCH("digital",C415)),ISNUMBER(SEARCH("engineering",C415)),ISNUMBER(SEARCH("solutions",C415))),"Technology",TRUE,"Other")</f>
        <v>Other</v>
      </c>
    </row>
    <row r="416" spans="1:11" s="26" customFormat="1" x14ac:dyDescent="0.3">
      <c r="A416" s="27" t="s">
        <v>1334</v>
      </c>
      <c r="B416" s="27" t="s">
        <v>1030</v>
      </c>
      <c r="C416" s="27" t="s">
        <v>294</v>
      </c>
      <c r="D416" s="27" t="s">
        <v>1335</v>
      </c>
      <c r="E416" s="32">
        <v>1165000</v>
      </c>
      <c r="F416" s="28">
        <v>39478</v>
      </c>
      <c r="G416" s="29">
        <v>3.05</v>
      </c>
      <c r="H416" s="30" cm="1">
        <f t="array" ref="H416">_xlfn.IFS(I416="Founder / Owner",IF(ISNUMBER(SEARCH("owner",B416)),80,96),I416="C-Suite",IF(OR(ISNUMBER(SEARCH("ceo",B416)),ISNUMBER(SEARCH("chief executive",B416))),95,91),I416="Managing Director",86,I416="Partner",IF(OR(ISNUMBER(SEARCH("managing partner",B416)),ISNUMBER(SEARCH("general partner",B416))),88,85),I416="VP / Head",_xlfn.IFS(OR(ISNUMBER(SEARCH("vice president",B416)),ISNUMBER(SEARCH("executive vice",B416))),91,ISNUMBER(SEARCH("svp",B416)),77,TRUE,73),I416="Director",IF(ISNUMBER(SEARCH("principal",B416)),72,71),I416="Individual Contributor",32,OR(ISNUMBER(SEARCH("surgeon",B416)),ISNUMBER(SEARCH("physician",B416)),ISNUMBER(SEARCH("doctor",B416)),ISNUMBER(SEARCH("dentist",B416)),ISNUMBER(SEARCH("psychiat",B416)),ISNUMBER(SEARCH("oncolog",B416)),ISNUMBER(SEARCH("neurolog",B416)),ISNUMBER(SEARCH("patholog",B416)),ISNUMBER(SEARCH("medicine",B416)),ISNUMBER(SEARCH("obgyn",B416))),77,OR(ISNUMBER(SEARCH("portfolio manager",B416)),ISNUMBER(SEARCH("wealth advisor",B416))),81,OR(ISNUMBER(SEARCH("lawyer",B416)),ISNUMBER(SEARCH("attorney",B416))),68,ISNUMBER(SEARCH("counsel",B416)),66,ISNUMBER(SEARCH("professor",B416)),63,OR(ISNUMBER(SEARCH("engineer",B416)),ISNUMBER(SEARCH("consultant",B416))),62,ISNUMBER(SEARCH("senior manager",B416)),64,OR(ISNUMBER(SEARCH("realtor",B416)),ISNUMBER(SEARCH("broker",B416)),ISNUMBER(SEARCH("journalist",B416)),ISNUMBER(SEARCH("columnist",B416)),ISNUMBER(SEARCH("trader",B416)),ISNUMBER(SEARCH("actor",B416))),50,TRUE,60)</f>
        <v>60</v>
      </c>
      <c r="I416" s="31" t="str" cm="1">
        <f t="array" ref="I416">_xlfn.LET(_xlpm.p," "&amp;LOWER(SUBSTITUTE(SUBSTITUTE(SUBSTITUTE(B416,",","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6" s="31" t="str" cm="1">
        <f t="array" ref="J416">_xlfn.IFS(H416&gt;=90,"Very High",H416&gt;=80,"High",H416&gt;=56,"Medium",TRUE,"Low")</f>
        <v>Medium</v>
      </c>
      <c r="K416" s="31" t="str" cm="1">
        <f t="array" ref="K416">_xlfn.IFS(OR(ISNUMBER(SEARCH("hospital",C416)),ISNUMBER(SEARCH("health",C416)),ISNUMBER(SEARCH("medical",C416)),ISNUMBER(SEARCH("clinic",C416)),ISNUMBER(SEARCH("nursing",C416)),ISNUMBER(SEARCH("care cent",C416)),ISNUMBER(SEARCH("physician",B416)),ISNUMBER(SEARCH("doctor",B416)),ISNUMBER(SEARCH("dentist",B416)),ISNUMBER(SEARCH("surgeon",B416)),ISNUMBER(SEARCH("psychiat",B416)),ISNUMBER(SEARCH("medicine",B416))),"Healthcare",OR(ISNUMBER(SEARCH("llp",C416)),ISNUMBER(SEARCH("lawyer",B416)),ISNUMBER(SEARCH("attorney",B416)),ISNUMBER(SEARCH("legal",C416)),ISNUMBER(SEARCH("tetrault",C416)),ISNUMBER(SEARCH("morley",C416)),ISNUMBER(SEARCH("blg",C416)),ISNUMBER(SEARCH("lowy",C416)),ISNUMBER(SEARCH("riley",C416)),ISNUMBER(SEARCH("toomath",C416))),"Law",OR(ISNUMBER(SEARCH("reit",C416)),ISNUMBER(SEARCH("properties",C416)),ISNUMBER(SEARCH("realty",C416)),ISNUMBER(SEARCH("realtor",B416)),ISNUMBER(SEARCH("colliers",C416)),ISNUMBER(SEARCH("re/max",C416)),ISNUMBER(SEARCH("quadreal",C416)),ISNUMBER(SEARCH("vic management",C416))),"Real Estate",OR(ISNUMBER(SEARCH("deloitte",C416)),ISNUMBER(SEARCH("kpmg",C416)),ISNUMBER(SEARCH("pwc",C416)),ISNUMBER(SEARCH("consulting",C416)),ISNUMBER(SEARCH("consultant",B416)),ISNUMBER(SEARCH("advisory",C416)),ISNUMBER(SEARCH("philanthropic",C416)),ISNUMBER(SEARCH("argyle",C416)),ISNUMBER(SEARCH("quinn",C416))),"Consulting",OR(ISNUMBER(SEARCH("media",C416)),ISNUMBER(SEARCH("news",C416)),ISNUMBER(SEARCH("radio",C416)),ISNUMBER(SEARCH("film",C416)),ISNUMBER(SEARCH("journalist",B416)),ISNUMBER(SEARCH("columnist",B416)),ISNUMBER(SEARCH("globe",C416)),ISNUMBER(SEARCH("marketing",C416)),ISNUMBER(SEARCH("actor",B416))),"Media",OR(ISNUMBER(SEARCH("rbc",C416)),ISNUMBER(SEARCH("cibc",C416)),ISNUMBER(SEARCH("bmo",C416)),ISNUMBER(SEARCH("scotia",C416)),ISNUMBER(SEARCH("bank",C416)),ISNUMBER(SEARCH("capital",C416)),ISNUMBER(SEARCH("wealth",C416)),ISNUMBER(SEARCH("financial",C416)),ISNUMBER(SEARCH("securities",C416)),ISNUMBER(SEARCH("fidelity",C416)),ISNUMBER(SEARCH("guardian",C416)),ISNUMBER(SEARCH("wealthsimple",C416)),ISNUMBER(SEARCH("credit suisse",C416)),ISNUMBER(SEARCH("tmx",C416)),ISNUMBER(SEARCH("investors",C416)),ISNUMBER(SEARCH("trader",B416))),"Finance",OR(ISNUMBER(SEARCH("ventures",C416)),ISNUMBER(SEARCH("private equity",B416)),ISNUMBER(SEARCH("capital partners",C416))),"Private Equity / VC",OR(ISNUMBER(SEARCH("government",C416)),ISNUMBER(SEARCH("ministry",C416)),ISNUMBER(SEARCH("tribunal",C416)),ISNUMBER(SEARCH("tdsb",C416)),ISNUMBER(SEARCH("public service",C416))),"Government",OR(ISNUMBER(SEARCH("association",C416)),ISNUMBER(SEARCH("institute",C416)),ISNUMBER(SEARCH("foundation",C416))),"Nonprofit",OR(ISNUMBER(SEARCH("software",C416)),ISNUMBER(SEARCH("tech",C416)),ISNUMBER(SEARCH("systems",C416)),ISNUMBER(SEARCH("digital",C416)),ISNUMBER(SEARCH("engineering",C416)),ISNUMBER(SEARCH("solutions",C416))),"Technology",TRUE,"Other")</f>
        <v>Finance</v>
      </c>
    </row>
    <row r="417" spans="1:11" s="26" customFormat="1" x14ac:dyDescent="0.3">
      <c r="A417" s="27" t="s">
        <v>1359</v>
      </c>
      <c r="B417" s="27" t="s">
        <v>1467</v>
      </c>
      <c r="C417" s="27" t="s">
        <v>1468</v>
      </c>
      <c r="D417" s="27" t="s">
        <v>1315</v>
      </c>
      <c r="E417" s="32">
        <v>1350000</v>
      </c>
      <c r="F417" s="28">
        <v>45866</v>
      </c>
      <c r="G417" s="29">
        <v>3.24</v>
      </c>
      <c r="H417" s="30" cm="1">
        <f t="array" ref="H417">_xlfn.IFS(I417="Founder / Owner",IF(ISNUMBER(SEARCH("owner",B417)),80,96),I417="C-Suite",IF(OR(ISNUMBER(SEARCH("ceo",B417)),ISNUMBER(SEARCH("chief executive",B417))),95,91),I417="Managing Director",86,I417="Partner",IF(OR(ISNUMBER(SEARCH("managing partner",B417)),ISNUMBER(SEARCH("general partner",B417))),88,85),I417="VP / Head",_xlfn.IFS(OR(ISNUMBER(SEARCH("vice president",B417)),ISNUMBER(SEARCH("executive vice",B417))),91,ISNUMBER(SEARCH("svp",B417)),77,TRUE,73),I417="Director",IF(ISNUMBER(SEARCH("principal",B417)),72,71),I417="Individual Contributor",32,OR(ISNUMBER(SEARCH("surgeon",B417)),ISNUMBER(SEARCH("physician",B417)),ISNUMBER(SEARCH("doctor",B417)),ISNUMBER(SEARCH("dentist",B417)),ISNUMBER(SEARCH("psychiat",B417)),ISNUMBER(SEARCH("oncolog",B417)),ISNUMBER(SEARCH("neurolog",B417)),ISNUMBER(SEARCH("patholog",B417)),ISNUMBER(SEARCH("medicine",B417)),ISNUMBER(SEARCH("obgyn",B417))),77,OR(ISNUMBER(SEARCH("portfolio manager",B417)),ISNUMBER(SEARCH("wealth advisor",B417))),81,OR(ISNUMBER(SEARCH("lawyer",B417)),ISNUMBER(SEARCH("attorney",B417))),68,ISNUMBER(SEARCH("counsel",B417)),66,ISNUMBER(SEARCH("professor",B417)),63,OR(ISNUMBER(SEARCH("engineer",B417)),ISNUMBER(SEARCH("consultant",B417))),62,ISNUMBER(SEARCH("senior manager",B417)),64,OR(ISNUMBER(SEARCH("realtor",B417)),ISNUMBER(SEARCH("broker",B417)),ISNUMBER(SEARCH("journalist",B417)),ISNUMBER(SEARCH("columnist",B417)),ISNUMBER(SEARCH("trader",B417)),ISNUMBER(SEARCH("actor",B417))),50,TRUE,60)</f>
        <v>60</v>
      </c>
      <c r="I417" s="31" t="str" cm="1">
        <f t="array" ref="I417">_xlfn.LET(_xlpm.p," "&amp;LOWER(SUBSTITUTE(SUBSTITUTE(SUBSTITUTE(B417,",","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7" s="31" t="str" cm="1">
        <f t="array" ref="J417">_xlfn.IFS(H417&gt;=90,"Very High",H417&gt;=80,"High",H417&gt;=56,"Medium",TRUE,"Low")</f>
        <v>Medium</v>
      </c>
      <c r="K417" s="31" t="str" cm="1">
        <f t="array" ref="K417">_xlfn.IFS(OR(ISNUMBER(SEARCH("hospital",C417)),ISNUMBER(SEARCH("health",C417)),ISNUMBER(SEARCH("medical",C417)),ISNUMBER(SEARCH("clinic",C417)),ISNUMBER(SEARCH("nursing",C417)),ISNUMBER(SEARCH("care cent",C417)),ISNUMBER(SEARCH("physician",B417)),ISNUMBER(SEARCH("doctor",B417)),ISNUMBER(SEARCH("dentist",B417)),ISNUMBER(SEARCH("surgeon",B417)),ISNUMBER(SEARCH("psychiat",B417)),ISNUMBER(SEARCH("medicine",B417))),"Healthcare",OR(ISNUMBER(SEARCH("llp",C417)),ISNUMBER(SEARCH("lawyer",B417)),ISNUMBER(SEARCH("attorney",B417)),ISNUMBER(SEARCH("legal",C417)),ISNUMBER(SEARCH("tetrault",C417)),ISNUMBER(SEARCH("morley",C417)),ISNUMBER(SEARCH("blg",C417)),ISNUMBER(SEARCH("lowy",C417)),ISNUMBER(SEARCH("riley",C417)),ISNUMBER(SEARCH("toomath",C417))),"Law",OR(ISNUMBER(SEARCH("reit",C417)),ISNUMBER(SEARCH("properties",C417)),ISNUMBER(SEARCH("realty",C417)),ISNUMBER(SEARCH("realtor",B417)),ISNUMBER(SEARCH("colliers",C417)),ISNUMBER(SEARCH("re/max",C417)),ISNUMBER(SEARCH("quadreal",C417)),ISNUMBER(SEARCH("vic management",C417))),"Real Estate",OR(ISNUMBER(SEARCH("deloitte",C417)),ISNUMBER(SEARCH("kpmg",C417)),ISNUMBER(SEARCH("pwc",C417)),ISNUMBER(SEARCH("consulting",C417)),ISNUMBER(SEARCH("consultant",B417)),ISNUMBER(SEARCH("advisory",C417)),ISNUMBER(SEARCH("philanthropic",C417)),ISNUMBER(SEARCH("argyle",C417)),ISNUMBER(SEARCH("quinn",C417))),"Consulting",OR(ISNUMBER(SEARCH("media",C417)),ISNUMBER(SEARCH("news",C417)),ISNUMBER(SEARCH("radio",C417)),ISNUMBER(SEARCH("film",C417)),ISNUMBER(SEARCH("journalist",B417)),ISNUMBER(SEARCH("columnist",B417)),ISNUMBER(SEARCH("globe",C417)),ISNUMBER(SEARCH("marketing",C417)),ISNUMBER(SEARCH("actor",B417))),"Media",OR(ISNUMBER(SEARCH("rbc",C417)),ISNUMBER(SEARCH("cibc",C417)),ISNUMBER(SEARCH("bmo",C417)),ISNUMBER(SEARCH("scotia",C417)),ISNUMBER(SEARCH("bank",C417)),ISNUMBER(SEARCH("capital",C417)),ISNUMBER(SEARCH("wealth",C417)),ISNUMBER(SEARCH("financial",C417)),ISNUMBER(SEARCH("securities",C417)),ISNUMBER(SEARCH("fidelity",C417)),ISNUMBER(SEARCH("guardian",C417)),ISNUMBER(SEARCH("wealthsimple",C417)),ISNUMBER(SEARCH("credit suisse",C417)),ISNUMBER(SEARCH("tmx",C417)),ISNUMBER(SEARCH("investors",C417)),ISNUMBER(SEARCH("trader",B417))),"Finance",OR(ISNUMBER(SEARCH("ventures",C417)),ISNUMBER(SEARCH("private equity",B417)),ISNUMBER(SEARCH("capital partners",C417))),"Private Equity / VC",OR(ISNUMBER(SEARCH("government",C417)),ISNUMBER(SEARCH("ministry",C417)),ISNUMBER(SEARCH("tribunal",C417)),ISNUMBER(SEARCH("tdsb",C417)),ISNUMBER(SEARCH("public service",C417))),"Government",OR(ISNUMBER(SEARCH("association",C417)),ISNUMBER(SEARCH("institute",C417)),ISNUMBER(SEARCH("foundation",C417))),"Nonprofit",OR(ISNUMBER(SEARCH("software",C417)),ISNUMBER(SEARCH("tech",C417)),ISNUMBER(SEARCH("systems",C417)),ISNUMBER(SEARCH("digital",C417)),ISNUMBER(SEARCH("engineering",C417)),ISNUMBER(SEARCH("solutions",C417))),"Technology",TRUE,"Other")</f>
        <v>Other</v>
      </c>
    </row>
    <row r="418" spans="1:11" s="26" customFormat="1" x14ac:dyDescent="0.3">
      <c r="A418" s="4" t="s">
        <v>867</v>
      </c>
      <c r="B418" s="4" t="s">
        <v>868</v>
      </c>
      <c r="C418" s="4" t="s">
        <v>294</v>
      </c>
      <c r="D418" s="4" t="s">
        <v>869</v>
      </c>
      <c r="E418" s="18">
        <v>1530000</v>
      </c>
      <c r="F418" s="5">
        <v>41502</v>
      </c>
      <c r="G418" s="6">
        <v>3.92</v>
      </c>
      <c r="H418" s="9">
        <v>60</v>
      </c>
      <c r="I418" s="31" t="s">
        <v>1055</v>
      </c>
      <c r="J418" s="10" t="s">
        <v>1056</v>
      </c>
      <c r="K418" s="10" t="s">
        <v>1054</v>
      </c>
    </row>
    <row r="419" spans="1:11" s="26" customFormat="1" x14ac:dyDescent="0.3">
      <c r="A419" s="4" t="s">
        <v>762</v>
      </c>
      <c r="B419" s="4" t="s">
        <v>763</v>
      </c>
      <c r="C419" s="4" t="s">
        <v>764</v>
      </c>
      <c r="D419" s="4" t="s">
        <v>765</v>
      </c>
      <c r="E419" s="18">
        <v>1955000</v>
      </c>
      <c r="F419" s="5">
        <v>38537</v>
      </c>
      <c r="G419" s="6">
        <v>4.07</v>
      </c>
      <c r="H419" s="9">
        <v>60</v>
      </c>
      <c r="I419" s="31" t="s">
        <v>1055</v>
      </c>
      <c r="J419" s="10" t="s">
        <v>1056</v>
      </c>
      <c r="K419" s="10" t="s">
        <v>1064</v>
      </c>
    </row>
    <row r="420" spans="1:11" s="26" customFormat="1" x14ac:dyDescent="0.3">
      <c r="A420" s="27" t="s">
        <v>1291</v>
      </c>
      <c r="B420" s="27" t="s">
        <v>684</v>
      </c>
      <c r="C420" s="27" t="s">
        <v>1512</v>
      </c>
      <c r="D420" s="27" t="s">
        <v>1292</v>
      </c>
      <c r="E420" s="32">
        <v>2772000</v>
      </c>
      <c r="F420" s="28">
        <v>45125</v>
      </c>
      <c r="G420" s="29">
        <v>2.94</v>
      </c>
      <c r="H420" s="30" cm="1">
        <f t="array" ref="H420">_xlfn.IFS(I420="Founder / Owner",IF(ISNUMBER(SEARCH("owner",B420)),80,96),I420="C-Suite",IF(OR(ISNUMBER(SEARCH("ceo",B420)),ISNUMBER(SEARCH("chief executive",B420))),95,91),I420="Managing Director",86,I420="Partner",IF(OR(ISNUMBER(SEARCH("managing partner",B420)),ISNUMBER(SEARCH("general partner",B420))),88,85),I420="VP / Head",_xlfn.IFS(OR(ISNUMBER(SEARCH("vice president",B420)),ISNUMBER(SEARCH("executive vice",B420))),91,ISNUMBER(SEARCH("svp",B420)),77,TRUE,73),I420="Director",IF(ISNUMBER(SEARCH("principal",B420)),72,71),I420="Individual Contributor",32,OR(ISNUMBER(SEARCH("surgeon",B420)),ISNUMBER(SEARCH("physician",B420)),ISNUMBER(SEARCH("doctor",B420)),ISNUMBER(SEARCH("dentist",B420)),ISNUMBER(SEARCH("psychiat",B420)),ISNUMBER(SEARCH("oncolog",B420)),ISNUMBER(SEARCH("neurolog",B420)),ISNUMBER(SEARCH("patholog",B420)),ISNUMBER(SEARCH("medicine",B420)),ISNUMBER(SEARCH("obgyn",B420))),77,OR(ISNUMBER(SEARCH("portfolio manager",B420)),ISNUMBER(SEARCH("wealth advisor",B420))),81,OR(ISNUMBER(SEARCH("lawyer",B420)),ISNUMBER(SEARCH("attorney",B420))),68,ISNUMBER(SEARCH("counsel",B420)),66,ISNUMBER(SEARCH("professor",B420)),63,OR(ISNUMBER(SEARCH("engineer",B420)),ISNUMBER(SEARCH("consultant",B420))),62,ISNUMBER(SEARCH("senior manager",B420)),64,OR(ISNUMBER(SEARCH("realtor",B420)),ISNUMBER(SEARCH("broker",B420)),ISNUMBER(SEARCH("journalist",B420)),ISNUMBER(SEARCH("columnist",B420)),ISNUMBER(SEARCH("trader",B420)),ISNUMBER(SEARCH("actor",B420))),50,TRUE,60)</f>
        <v>60</v>
      </c>
      <c r="I420" s="31" t="str" cm="1">
        <f t="array" ref="I420">_xlfn.LET(_xlpm.p," "&amp;LOWER(SUBSTITUTE(SUBSTITUTE(SUBSTITUTE(B420,",","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0" s="31" t="str" cm="1">
        <f t="array" ref="J420">_xlfn.IFS(H420&gt;=90,"Very High",H420&gt;=80,"High",H420&gt;=56,"Medium",TRUE,"Low")</f>
        <v>Medium</v>
      </c>
      <c r="K420" s="31" t="str" cm="1">
        <f t="array" ref="K420">_xlfn.IFS(OR(ISNUMBER(SEARCH("hospital",C420)),ISNUMBER(SEARCH("health",C420)),ISNUMBER(SEARCH("medical",C420)),ISNUMBER(SEARCH("clinic",C420)),ISNUMBER(SEARCH("nursing",C420)),ISNUMBER(SEARCH("care cent",C420)),ISNUMBER(SEARCH("physician",B420)),ISNUMBER(SEARCH("doctor",B420)),ISNUMBER(SEARCH("dentist",B420)),ISNUMBER(SEARCH("surgeon",B420)),ISNUMBER(SEARCH("psychiat",B420)),ISNUMBER(SEARCH("medicine",B420))),"Healthcare",OR(ISNUMBER(SEARCH("llp",C420)),ISNUMBER(SEARCH("lawyer",B420)),ISNUMBER(SEARCH("attorney",B420)),ISNUMBER(SEARCH("legal",C420)),ISNUMBER(SEARCH("tetrault",C420)),ISNUMBER(SEARCH("morley",C420)),ISNUMBER(SEARCH("blg",C420)),ISNUMBER(SEARCH("lowy",C420)),ISNUMBER(SEARCH("riley",C420)),ISNUMBER(SEARCH("toomath",C420))),"Law",OR(ISNUMBER(SEARCH("reit",C420)),ISNUMBER(SEARCH("properties",C420)),ISNUMBER(SEARCH("realty",C420)),ISNUMBER(SEARCH("realtor",B420)),ISNUMBER(SEARCH("colliers",C420)),ISNUMBER(SEARCH("re/max",C420)),ISNUMBER(SEARCH("quadreal",C420)),ISNUMBER(SEARCH("vic management",C420))),"Real Estate",OR(ISNUMBER(SEARCH("deloitte",C420)),ISNUMBER(SEARCH("kpmg",C420)),ISNUMBER(SEARCH("pwc",C420)),ISNUMBER(SEARCH("consulting",C420)),ISNUMBER(SEARCH("consultant",B420)),ISNUMBER(SEARCH("advisory",C420)),ISNUMBER(SEARCH("philanthropic",C420)),ISNUMBER(SEARCH("argyle",C420)),ISNUMBER(SEARCH("quinn",C420))),"Consulting",OR(ISNUMBER(SEARCH("media",C420)),ISNUMBER(SEARCH("news",C420)),ISNUMBER(SEARCH("radio",C420)),ISNUMBER(SEARCH("film",C420)),ISNUMBER(SEARCH("journalist",B420)),ISNUMBER(SEARCH("columnist",B420)),ISNUMBER(SEARCH("globe",C420)),ISNUMBER(SEARCH("marketing",C420)),ISNUMBER(SEARCH("actor",B420))),"Media",OR(ISNUMBER(SEARCH("rbc",C420)),ISNUMBER(SEARCH("cibc",C420)),ISNUMBER(SEARCH("bmo",C420)),ISNUMBER(SEARCH("scotia",C420)),ISNUMBER(SEARCH("bank",C420)),ISNUMBER(SEARCH("capital",C420)),ISNUMBER(SEARCH("wealth",C420)),ISNUMBER(SEARCH("financial",C420)),ISNUMBER(SEARCH("securities",C420)),ISNUMBER(SEARCH("fidelity",C420)),ISNUMBER(SEARCH("guardian",C420)),ISNUMBER(SEARCH("wealthsimple",C420)),ISNUMBER(SEARCH("credit suisse",C420)),ISNUMBER(SEARCH("tmx",C420)),ISNUMBER(SEARCH("investors",C420)),ISNUMBER(SEARCH("trader",B420))),"Finance",OR(ISNUMBER(SEARCH("ventures",C420)),ISNUMBER(SEARCH("private equity",B420)),ISNUMBER(SEARCH("capital partners",C420))),"Private Equity / VC",OR(ISNUMBER(SEARCH("government",C420)),ISNUMBER(SEARCH("ministry",C420)),ISNUMBER(SEARCH("tribunal",C420)),ISNUMBER(SEARCH("tdsb",C420)),ISNUMBER(SEARCH("public service",C420))),"Government",OR(ISNUMBER(SEARCH("association",C420)),ISNUMBER(SEARCH("institute",C420)),ISNUMBER(SEARCH("foundation",C420))),"Nonprofit",OR(ISNUMBER(SEARCH("software",C420)),ISNUMBER(SEARCH("tech",C420)),ISNUMBER(SEARCH("systems",C420)),ISNUMBER(SEARCH("digital",C420)),ISNUMBER(SEARCH("engineering",C420)),ISNUMBER(SEARCH("solutions",C420))),"Technology",TRUE,"Other")</f>
        <v>Finance</v>
      </c>
    </row>
    <row r="421" spans="1:11" s="26" customFormat="1" x14ac:dyDescent="0.3">
      <c r="A421" s="27" t="s">
        <v>1367</v>
      </c>
      <c r="B421" s="27" t="s">
        <v>1368</v>
      </c>
      <c r="C421" s="27" t="s">
        <v>1369</v>
      </c>
      <c r="D421" s="27" t="s">
        <v>1370</v>
      </c>
      <c r="E421" s="32">
        <v>3480000</v>
      </c>
      <c r="F421" s="28">
        <v>44734</v>
      </c>
      <c r="G421" s="29">
        <v>3.24</v>
      </c>
      <c r="H421" s="30" cm="1">
        <f t="array" ref="H421">_xlfn.IFS(I421="Founder / Owner",IF(ISNUMBER(SEARCH("owner",B421)),80,96),I421="C-Suite",IF(OR(ISNUMBER(SEARCH("ceo",B421)),ISNUMBER(SEARCH("chief executive",B421))),95,91),I421="Managing Director",86,I421="Partner",IF(OR(ISNUMBER(SEARCH("managing partner",B421)),ISNUMBER(SEARCH("general partner",B421))),88,85),I421="VP / Head",_xlfn.IFS(OR(ISNUMBER(SEARCH("vice president",B421)),ISNUMBER(SEARCH("executive vice",B421))),91,ISNUMBER(SEARCH("svp",B421)),77,TRUE,73),I421="Director",IF(ISNUMBER(SEARCH("principal",B421)),72,71),I421="Individual Contributor",32,OR(ISNUMBER(SEARCH("surgeon",B421)),ISNUMBER(SEARCH("physician",B421)),ISNUMBER(SEARCH("doctor",B421)),ISNUMBER(SEARCH("dentist",B421)),ISNUMBER(SEARCH("psychiat",B421)),ISNUMBER(SEARCH("oncolog",B421)),ISNUMBER(SEARCH("neurolog",B421)),ISNUMBER(SEARCH("patholog",B421)),ISNUMBER(SEARCH("medicine",B421)),ISNUMBER(SEARCH("obgyn",B421))),77,OR(ISNUMBER(SEARCH("portfolio manager",B421)),ISNUMBER(SEARCH("wealth advisor",B421))),81,OR(ISNUMBER(SEARCH("lawyer",B421)),ISNUMBER(SEARCH("attorney",B421))),68,ISNUMBER(SEARCH("counsel",B421)),66,ISNUMBER(SEARCH("professor",B421)),63,OR(ISNUMBER(SEARCH("engineer",B421)),ISNUMBER(SEARCH("consultant",B421))),62,ISNUMBER(SEARCH("senior manager",B421)),64,OR(ISNUMBER(SEARCH("realtor",B421)),ISNUMBER(SEARCH("broker",B421)),ISNUMBER(SEARCH("journalist",B421)),ISNUMBER(SEARCH("columnist",B421)),ISNUMBER(SEARCH("trader",B421)),ISNUMBER(SEARCH("actor",B421))),50,TRUE,60)</f>
        <v>60</v>
      </c>
      <c r="I421" s="31" t="str" cm="1">
        <f t="array" ref="I421">_xlfn.LET(_xlpm.p," "&amp;LOWER(SUBSTITUTE(SUBSTITUTE(SUBSTITUTE(B421,",","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1" s="31" t="str" cm="1">
        <f t="array" ref="J421">_xlfn.IFS(H421&gt;=90,"Very High",H421&gt;=80,"High",H421&gt;=56,"Medium",TRUE,"Low")</f>
        <v>Medium</v>
      </c>
      <c r="K421" s="31" t="str" cm="1">
        <f t="array" ref="K421">_xlfn.IFS(OR(ISNUMBER(SEARCH("hospital",C421)),ISNUMBER(SEARCH("health",C421)),ISNUMBER(SEARCH("medical",C421)),ISNUMBER(SEARCH("clinic",C421)),ISNUMBER(SEARCH("nursing",C421)),ISNUMBER(SEARCH("care cent",C421)),ISNUMBER(SEARCH("physician",B421)),ISNUMBER(SEARCH("doctor",B421)),ISNUMBER(SEARCH("dentist",B421)),ISNUMBER(SEARCH("surgeon",B421)),ISNUMBER(SEARCH("psychiat",B421)),ISNUMBER(SEARCH("medicine",B421))),"Healthcare",OR(ISNUMBER(SEARCH("llp",C421)),ISNUMBER(SEARCH("lawyer",B421)),ISNUMBER(SEARCH("attorney",B421)),ISNUMBER(SEARCH("legal",C421)),ISNUMBER(SEARCH("tetrault",C421)),ISNUMBER(SEARCH("morley",C421)),ISNUMBER(SEARCH("blg",C421)),ISNUMBER(SEARCH("lowy",C421)),ISNUMBER(SEARCH("riley",C421)),ISNUMBER(SEARCH("toomath",C421))),"Law",OR(ISNUMBER(SEARCH("reit",C421)),ISNUMBER(SEARCH("properties",C421)),ISNUMBER(SEARCH("realty",C421)),ISNUMBER(SEARCH("realtor",B421)),ISNUMBER(SEARCH("colliers",C421)),ISNUMBER(SEARCH("re/max",C421)),ISNUMBER(SEARCH("quadreal",C421)),ISNUMBER(SEARCH("vic management",C421))),"Real Estate",OR(ISNUMBER(SEARCH("deloitte",C421)),ISNUMBER(SEARCH("kpmg",C421)),ISNUMBER(SEARCH("pwc",C421)),ISNUMBER(SEARCH("consulting",C421)),ISNUMBER(SEARCH("consultant",B421)),ISNUMBER(SEARCH("advisory",C421)),ISNUMBER(SEARCH("philanthropic",C421)),ISNUMBER(SEARCH("argyle",C421)),ISNUMBER(SEARCH("quinn",C421))),"Consulting",OR(ISNUMBER(SEARCH("media",C421)),ISNUMBER(SEARCH("news",C421)),ISNUMBER(SEARCH("radio",C421)),ISNUMBER(SEARCH("film",C421)),ISNUMBER(SEARCH("journalist",B421)),ISNUMBER(SEARCH("columnist",B421)),ISNUMBER(SEARCH("globe",C421)),ISNUMBER(SEARCH("marketing",C421)),ISNUMBER(SEARCH("actor",B421))),"Media",OR(ISNUMBER(SEARCH("rbc",C421)),ISNUMBER(SEARCH("cibc",C421)),ISNUMBER(SEARCH("bmo",C421)),ISNUMBER(SEARCH("scotia",C421)),ISNUMBER(SEARCH("bank",C421)),ISNUMBER(SEARCH("capital",C421)),ISNUMBER(SEARCH("wealth",C421)),ISNUMBER(SEARCH("financial",C421)),ISNUMBER(SEARCH("securities",C421)),ISNUMBER(SEARCH("fidelity",C421)),ISNUMBER(SEARCH("guardian",C421)),ISNUMBER(SEARCH("wealthsimple",C421)),ISNUMBER(SEARCH("credit suisse",C421)),ISNUMBER(SEARCH("tmx",C421)),ISNUMBER(SEARCH("investors",C421)),ISNUMBER(SEARCH("trader",B421))),"Finance",OR(ISNUMBER(SEARCH("ventures",C421)),ISNUMBER(SEARCH("private equity",B421)),ISNUMBER(SEARCH("capital partners",C421))),"Private Equity / VC",OR(ISNUMBER(SEARCH("government",C421)),ISNUMBER(SEARCH("ministry",C421)),ISNUMBER(SEARCH("tribunal",C421)),ISNUMBER(SEARCH("tdsb",C421)),ISNUMBER(SEARCH("public service",C421))),"Government",OR(ISNUMBER(SEARCH("association",C421)),ISNUMBER(SEARCH("institute",C421)),ISNUMBER(SEARCH("foundation",C421))),"Nonprofit",OR(ISNUMBER(SEARCH("software",C421)),ISNUMBER(SEARCH("tech",C421)),ISNUMBER(SEARCH("systems",C421)),ISNUMBER(SEARCH("digital",C421)),ISNUMBER(SEARCH("engineering",C421)),ISNUMBER(SEARCH("solutions",C421))),"Technology",TRUE,"Other")</f>
        <v>Media</v>
      </c>
    </row>
    <row r="422" spans="1:11" s="26" customFormat="1" x14ac:dyDescent="0.3">
      <c r="A422" s="4" t="s">
        <v>989</v>
      </c>
      <c r="B422" s="4" t="s">
        <v>1516</v>
      </c>
      <c r="C422" s="4" t="s">
        <v>990</v>
      </c>
      <c r="D422" s="4" t="s">
        <v>991</v>
      </c>
      <c r="E422" s="20" t="s">
        <v>1280</v>
      </c>
      <c r="F422" s="5">
        <v>43808</v>
      </c>
      <c r="G422" s="6">
        <v>3.94</v>
      </c>
      <c r="H422" s="9">
        <v>60</v>
      </c>
      <c r="I422" s="31" t="s">
        <v>1055</v>
      </c>
      <c r="J422" s="10" t="s">
        <v>1056</v>
      </c>
      <c r="K422" s="10" t="s">
        <v>1054</v>
      </c>
    </row>
    <row r="423" spans="1:11" s="26" customFormat="1" x14ac:dyDescent="0.3">
      <c r="A423" s="27" t="s">
        <v>1441</v>
      </c>
      <c r="B423" s="27" t="s">
        <v>1478</v>
      </c>
      <c r="C423" s="27" t="s">
        <v>697</v>
      </c>
      <c r="D423" s="27" t="s">
        <v>1428</v>
      </c>
      <c r="E423" s="32" t="s">
        <v>1280</v>
      </c>
      <c r="F423" s="28">
        <v>42633</v>
      </c>
      <c r="G423" s="29">
        <v>3.14</v>
      </c>
      <c r="H423" s="30" cm="1">
        <f t="array" ref="H423">_xlfn.IFS(I423="Founder / Owner",IF(ISNUMBER(SEARCH("owner",B423)),80,96),I423="C-Suite",IF(OR(ISNUMBER(SEARCH("ceo",B423)),ISNUMBER(SEARCH("chief executive",B423))),95,91),I423="Managing Director",86,I423="Partner",IF(OR(ISNUMBER(SEARCH("managing partner",B423)),ISNUMBER(SEARCH("general partner",B423))),88,85),I423="VP / Head",_xlfn.IFS(OR(ISNUMBER(SEARCH("vice president",B423)),ISNUMBER(SEARCH("executive vice",B423))),91,ISNUMBER(SEARCH("svp",B423)),77,TRUE,73),I423="Director",IF(ISNUMBER(SEARCH("principal",B423)),72,71),I423="Individual Contributor",32,OR(ISNUMBER(SEARCH("surgeon",B423)),ISNUMBER(SEARCH("physician",B423)),ISNUMBER(SEARCH("doctor",B423)),ISNUMBER(SEARCH("dentist",B423)),ISNUMBER(SEARCH("psychiat",B423)),ISNUMBER(SEARCH("oncolog",B423)),ISNUMBER(SEARCH("neurolog",B423)),ISNUMBER(SEARCH("patholog",B423)),ISNUMBER(SEARCH("medicine",B423)),ISNUMBER(SEARCH("obgyn",B423))),77,OR(ISNUMBER(SEARCH("portfolio manager",B423)),ISNUMBER(SEARCH("wealth advisor",B423))),81,OR(ISNUMBER(SEARCH("lawyer",B423)),ISNUMBER(SEARCH("attorney",B423))),68,ISNUMBER(SEARCH("counsel",B423)),66,ISNUMBER(SEARCH("professor",B423)),63,OR(ISNUMBER(SEARCH("engineer",B423)),ISNUMBER(SEARCH("consultant",B423))),62,ISNUMBER(SEARCH("senior manager",B423)),64,OR(ISNUMBER(SEARCH("realtor",B423)),ISNUMBER(SEARCH("broker",B423)),ISNUMBER(SEARCH("journalist",B423)),ISNUMBER(SEARCH("columnist",B423)),ISNUMBER(SEARCH("trader",B423)),ISNUMBER(SEARCH("actor",B423))),50,TRUE,60)</f>
        <v>60</v>
      </c>
      <c r="I423" s="31" t="str" cm="1">
        <f t="array" ref="I423">_xlfn.LET(_xlpm.p," "&amp;LOWER(SUBSTITUTE(SUBSTITUTE(SUBSTITUTE(B423,",","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3" s="31" t="str" cm="1">
        <f t="array" ref="J423">_xlfn.IFS(H423&gt;=90,"Very High",H423&gt;=80,"High",H423&gt;=56,"Medium",TRUE,"Low")</f>
        <v>Medium</v>
      </c>
      <c r="K423" s="31" t="str" cm="1">
        <f t="array" ref="K423">_xlfn.IFS(OR(ISNUMBER(SEARCH("hospital",C423)),ISNUMBER(SEARCH("health",C423)),ISNUMBER(SEARCH("medical",C423)),ISNUMBER(SEARCH("clinic",C423)),ISNUMBER(SEARCH("nursing",C423)),ISNUMBER(SEARCH("care cent",C423)),ISNUMBER(SEARCH("physician",B423)),ISNUMBER(SEARCH("doctor",B423)),ISNUMBER(SEARCH("dentist",B423)),ISNUMBER(SEARCH("surgeon",B423)),ISNUMBER(SEARCH("psychiat",B423)),ISNUMBER(SEARCH("medicine",B423))),"Healthcare",OR(ISNUMBER(SEARCH("llp",C423)),ISNUMBER(SEARCH("lawyer",B423)),ISNUMBER(SEARCH("attorney",B423)),ISNUMBER(SEARCH("legal",C423)),ISNUMBER(SEARCH("tetrault",C423)),ISNUMBER(SEARCH("morley",C423)),ISNUMBER(SEARCH("blg",C423)),ISNUMBER(SEARCH("lowy",C423)),ISNUMBER(SEARCH("riley",C423)),ISNUMBER(SEARCH("toomath",C423))),"Law",OR(ISNUMBER(SEARCH("reit",C423)),ISNUMBER(SEARCH("properties",C423)),ISNUMBER(SEARCH("realty",C423)),ISNUMBER(SEARCH("realtor",B423)),ISNUMBER(SEARCH("colliers",C423)),ISNUMBER(SEARCH("re/max",C423)),ISNUMBER(SEARCH("quadreal",C423)),ISNUMBER(SEARCH("vic management",C423))),"Real Estate",OR(ISNUMBER(SEARCH("deloitte",C423)),ISNUMBER(SEARCH("kpmg",C423)),ISNUMBER(SEARCH("pwc",C423)),ISNUMBER(SEARCH("consulting",C423)),ISNUMBER(SEARCH("consultant",B423)),ISNUMBER(SEARCH("advisory",C423)),ISNUMBER(SEARCH("philanthropic",C423)),ISNUMBER(SEARCH("argyle",C423)),ISNUMBER(SEARCH("quinn",C423))),"Consulting",OR(ISNUMBER(SEARCH("media",C423)),ISNUMBER(SEARCH("news",C423)),ISNUMBER(SEARCH("radio",C423)),ISNUMBER(SEARCH("film",C423)),ISNUMBER(SEARCH("journalist",B423)),ISNUMBER(SEARCH("columnist",B423)),ISNUMBER(SEARCH("globe",C423)),ISNUMBER(SEARCH("marketing",C423)),ISNUMBER(SEARCH("actor",B423))),"Media",OR(ISNUMBER(SEARCH("rbc",C423)),ISNUMBER(SEARCH("cibc",C423)),ISNUMBER(SEARCH("bmo",C423)),ISNUMBER(SEARCH("scotia",C423)),ISNUMBER(SEARCH("bank",C423)),ISNUMBER(SEARCH("capital",C423)),ISNUMBER(SEARCH("wealth",C423)),ISNUMBER(SEARCH("financial",C423)),ISNUMBER(SEARCH("securities",C423)),ISNUMBER(SEARCH("fidelity",C423)),ISNUMBER(SEARCH("guardian",C423)),ISNUMBER(SEARCH("wealthsimple",C423)),ISNUMBER(SEARCH("credit suisse",C423)),ISNUMBER(SEARCH("tmx",C423)),ISNUMBER(SEARCH("investors",C423)),ISNUMBER(SEARCH("trader",B423))),"Finance",OR(ISNUMBER(SEARCH("ventures",C423)),ISNUMBER(SEARCH("private equity",B423)),ISNUMBER(SEARCH("capital partners",C423))),"Private Equity / VC",OR(ISNUMBER(SEARCH("government",C423)),ISNUMBER(SEARCH("ministry",C423)),ISNUMBER(SEARCH("tribunal",C423)),ISNUMBER(SEARCH("tdsb",C423)),ISNUMBER(SEARCH("public service",C423))),"Government",OR(ISNUMBER(SEARCH("association",C423)),ISNUMBER(SEARCH("institute",C423)),ISNUMBER(SEARCH("foundation",C423))),"Nonprofit",OR(ISNUMBER(SEARCH("software",C423)),ISNUMBER(SEARCH("tech",C423)),ISNUMBER(SEARCH("systems",C423)),ISNUMBER(SEARCH("digital",C423)),ISNUMBER(SEARCH("engineering",C423)),ISNUMBER(SEARCH("solutions",C423))),"Technology",TRUE,"Other")</f>
        <v>Finance</v>
      </c>
    </row>
    <row r="424" spans="1:11" s="26" customFormat="1" x14ac:dyDescent="0.3">
      <c r="A424" s="27" t="s">
        <v>1429</v>
      </c>
      <c r="B424" s="27" t="s">
        <v>1430</v>
      </c>
      <c r="C424" s="27" t="s">
        <v>1427</v>
      </c>
      <c r="D424" s="27" t="s">
        <v>1431</v>
      </c>
      <c r="E424" s="32" t="s">
        <v>1280</v>
      </c>
      <c r="F424" s="28">
        <v>46001</v>
      </c>
      <c r="G424" s="29">
        <v>3.27</v>
      </c>
      <c r="H424" s="30" cm="1">
        <f t="array" ref="H424">_xlfn.IFS(I424="Founder / Owner",IF(ISNUMBER(SEARCH("owner",B424)),80,96),I424="C-Suite",IF(OR(ISNUMBER(SEARCH("ceo",B424)),ISNUMBER(SEARCH("chief executive",B424))),95,91),I424="Managing Director",86,I424="Partner",IF(OR(ISNUMBER(SEARCH("managing partner",B424)),ISNUMBER(SEARCH("general partner",B424))),88,85),I424="VP / Head",_xlfn.IFS(OR(ISNUMBER(SEARCH("vice president",B424)),ISNUMBER(SEARCH("executive vice",B424))),91,ISNUMBER(SEARCH("svp",B424)),77,TRUE,73),I424="Director",IF(ISNUMBER(SEARCH("principal",B424)),72,71),I424="Individual Contributor",32,OR(ISNUMBER(SEARCH("surgeon",B424)),ISNUMBER(SEARCH("physician",B424)),ISNUMBER(SEARCH("doctor",B424)),ISNUMBER(SEARCH("dentist",B424)),ISNUMBER(SEARCH("psychiat",B424)),ISNUMBER(SEARCH("oncolog",B424)),ISNUMBER(SEARCH("neurolog",B424)),ISNUMBER(SEARCH("patholog",B424)),ISNUMBER(SEARCH("medicine",B424)),ISNUMBER(SEARCH("obgyn",B424))),77,OR(ISNUMBER(SEARCH("portfolio manager",B424)),ISNUMBER(SEARCH("wealth advisor",B424))),81,OR(ISNUMBER(SEARCH("lawyer",B424)),ISNUMBER(SEARCH("attorney",B424))),68,ISNUMBER(SEARCH("counsel",B424)),66,ISNUMBER(SEARCH("professor",B424)),63,OR(ISNUMBER(SEARCH("engineer",B424)),ISNUMBER(SEARCH("consultant",B424))),62,ISNUMBER(SEARCH("senior manager",B424)),64,OR(ISNUMBER(SEARCH("realtor",B424)),ISNUMBER(SEARCH("broker",B424)),ISNUMBER(SEARCH("journalist",B424)),ISNUMBER(SEARCH("columnist",B424)),ISNUMBER(SEARCH("trader",B424)),ISNUMBER(SEARCH("actor",B424))),50,TRUE,60)</f>
        <v>60</v>
      </c>
      <c r="I424" s="31" t="str" cm="1">
        <f t="array" ref="I424">_xlfn.LET(_xlpm.p," "&amp;LOWER(SUBSTITUTE(SUBSTITUTE(SUBSTITUTE(B424,",","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4" s="31" t="str" cm="1">
        <f t="array" ref="J424">_xlfn.IFS(H424&gt;=90,"Very High",H424&gt;=80,"High",H424&gt;=56,"Medium",TRUE,"Low")</f>
        <v>Medium</v>
      </c>
      <c r="K424" s="31" t="str" cm="1">
        <f t="array" ref="K424">_xlfn.IFS(OR(ISNUMBER(SEARCH("hospital",C424)),ISNUMBER(SEARCH("health",C424)),ISNUMBER(SEARCH("medical",C424)),ISNUMBER(SEARCH("clinic",C424)),ISNUMBER(SEARCH("nursing",C424)),ISNUMBER(SEARCH("care cent",C424)),ISNUMBER(SEARCH("physician",B424)),ISNUMBER(SEARCH("doctor",B424)),ISNUMBER(SEARCH("dentist",B424)),ISNUMBER(SEARCH("surgeon",B424)),ISNUMBER(SEARCH("psychiat",B424)),ISNUMBER(SEARCH("medicine",B424))),"Healthcare",OR(ISNUMBER(SEARCH("llp",C424)),ISNUMBER(SEARCH("lawyer",B424)),ISNUMBER(SEARCH("attorney",B424)),ISNUMBER(SEARCH("legal",C424)),ISNUMBER(SEARCH("tetrault",C424)),ISNUMBER(SEARCH("morley",C424)),ISNUMBER(SEARCH("blg",C424)),ISNUMBER(SEARCH("lowy",C424)),ISNUMBER(SEARCH("riley",C424)),ISNUMBER(SEARCH("toomath",C424))),"Law",OR(ISNUMBER(SEARCH("reit",C424)),ISNUMBER(SEARCH("properties",C424)),ISNUMBER(SEARCH("realty",C424)),ISNUMBER(SEARCH("realtor",B424)),ISNUMBER(SEARCH("colliers",C424)),ISNUMBER(SEARCH("re/max",C424)),ISNUMBER(SEARCH("quadreal",C424)),ISNUMBER(SEARCH("vic management",C424))),"Real Estate",OR(ISNUMBER(SEARCH("deloitte",C424)),ISNUMBER(SEARCH("kpmg",C424)),ISNUMBER(SEARCH("pwc",C424)),ISNUMBER(SEARCH("consulting",C424)),ISNUMBER(SEARCH("consultant",B424)),ISNUMBER(SEARCH("advisory",C424)),ISNUMBER(SEARCH("philanthropic",C424)),ISNUMBER(SEARCH("argyle",C424)),ISNUMBER(SEARCH("quinn",C424))),"Consulting",OR(ISNUMBER(SEARCH("media",C424)),ISNUMBER(SEARCH("news",C424)),ISNUMBER(SEARCH("radio",C424)),ISNUMBER(SEARCH("film",C424)),ISNUMBER(SEARCH("journalist",B424)),ISNUMBER(SEARCH("columnist",B424)),ISNUMBER(SEARCH("globe",C424)),ISNUMBER(SEARCH("marketing",C424)),ISNUMBER(SEARCH("actor",B424))),"Media",OR(ISNUMBER(SEARCH("rbc",C424)),ISNUMBER(SEARCH("cibc",C424)),ISNUMBER(SEARCH("bmo",C424)),ISNUMBER(SEARCH("scotia",C424)),ISNUMBER(SEARCH("bank",C424)),ISNUMBER(SEARCH("capital",C424)),ISNUMBER(SEARCH("wealth",C424)),ISNUMBER(SEARCH("financial",C424)),ISNUMBER(SEARCH("securities",C424)),ISNUMBER(SEARCH("fidelity",C424)),ISNUMBER(SEARCH("guardian",C424)),ISNUMBER(SEARCH("wealthsimple",C424)),ISNUMBER(SEARCH("credit suisse",C424)),ISNUMBER(SEARCH("tmx",C424)),ISNUMBER(SEARCH("investors",C424)),ISNUMBER(SEARCH("trader",B424))),"Finance",OR(ISNUMBER(SEARCH("ventures",C424)),ISNUMBER(SEARCH("private equity",B424)),ISNUMBER(SEARCH("capital partners",C424))),"Private Equity / VC",OR(ISNUMBER(SEARCH("government",C424)),ISNUMBER(SEARCH("ministry",C424)),ISNUMBER(SEARCH("tribunal",C424)),ISNUMBER(SEARCH("tdsb",C424)),ISNUMBER(SEARCH("public service",C424))),"Government",OR(ISNUMBER(SEARCH("association",C424)),ISNUMBER(SEARCH("institute",C424)),ISNUMBER(SEARCH("foundation",C424))),"Nonprofit",OR(ISNUMBER(SEARCH("software",C424)),ISNUMBER(SEARCH("tech",C424)),ISNUMBER(SEARCH("systems",C424)),ISNUMBER(SEARCH("digital",C424)),ISNUMBER(SEARCH("engineering",C424)),ISNUMBER(SEARCH("solutions",C424))),"Technology",TRUE,"Other")</f>
        <v>Government</v>
      </c>
    </row>
    <row r="425" spans="1:11" s="26" customFormat="1" x14ac:dyDescent="0.3">
      <c r="A425" s="27" t="s">
        <v>1381</v>
      </c>
      <c r="B425" s="27" t="s">
        <v>1546</v>
      </c>
      <c r="C425" s="27" t="s">
        <v>1472</v>
      </c>
      <c r="D425" s="27" t="s">
        <v>1382</v>
      </c>
      <c r="E425" s="32" t="s">
        <v>1280</v>
      </c>
      <c r="F425" s="28">
        <v>45716</v>
      </c>
      <c r="G425" s="29">
        <v>3.24</v>
      </c>
      <c r="H425" s="30" cm="1">
        <f t="array" ref="H425">_xlfn.IFS(I425="Founder / Owner",IF(ISNUMBER(SEARCH("owner",B425)),80,96),I425="C-Suite",IF(OR(ISNUMBER(SEARCH("ceo",B425)),ISNUMBER(SEARCH("chief executive",B425))),95,91),I425="Managing Director",86,I425="Partner",IF(OR(ISNUMBER(SEARCH("managing partner",B425)),ISNUMBER(SEARCH("general partner",B425))),88,85),I425="VP / Head",_xlfn.IFS(OR(ISNUMBER(SEARCH("vice president",B425)),ISNUMBER(SEARCH("executive vice",B425))),91,ISNUMBER(SEARCH("svp",B425)),77,TRUE,73),I425="Director",IF(ISNUMBER(SEARCH("principal",B425)),72,71),I425="Individual Contributor",32,OR(ISNUMBER(SEARCH("surgeon",B425)),ISNUMBER(SEARCH("physician",B425)),ISNUMBER(SEARCH("doctor",B425)),ISNUMBER(SEARCH("dentist",B425)),ISNUMBER(SEARCH("psychiat",B425)),ISNUMBER(SEARCH("oncolog",B425)),ISNUMBER(SEARCH("neurolog",B425)),ISNUMBER(SEARCH("patholog",B425)),ISNUMBER(SEARCH("medicine",B425)),ISNUMBER(SEARCH("obgyn",B425))),77,OR(ISNUMBER(SEARCH("portfolio manager",B425)),ISNUMBER(SEARCH("wealth advisor",B425))),81,OR(ISNUMBER(SEARCH("lawyer",B425)),ISNUMBER(SEARCH("attorney",B425))),68,ISNUMBER(SEARCH("counsel",B425)),66,ISNUMBER(SEARCH("professor",B425)),63,OR(ISNUMBER(SEARCH("engineer",B425)),ISNUMBER(SEARCH("consultant",B425))),62,ISNUMBER(SEARCH("senior manager",B425)),64,OR(ISNUMBER(SEARCH("realtor",B425)),ISNUMBER(SEARCH("broker",B425)),ISNUMBER(SEARCH("journalist",B425)),ISNUMBER(SEARCH("columnist",B425)),ISNUMBER(SEARCH("trader",B425)),ISNUMBER(SEARCH("actor",B425))),50,TRUE,60)</f>
        <v>60</v>
      </c>
      <c r="I425" s="31" t="str" cm="1">
        <f t="array" ref="I425">_xlfn.LET(_xlpm.p," "&amp;LOWER(SUBSTITUTE(SUBSTITUTE(SUBSTITUTE(B425,",","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5" s="31" t="str" cm="1">
        <f t="array" ref="J425">_xlfn.IFS(H425&gt;=90,"Very High",H425&gt;=80,"High",H425&gt;=56,"Medium",TRUE,"Low")</f>
        <v>Medium</v>
      </c>
      <c r="K425" s="31" t="str" cm="1">
        <f t="array" ref="K425">_xlfn.IFS(OR(ISNUMBER(SEARCH("hospital",C425)),ISNUMBER(SEARCH("health",C425)),ISNUMBER(SEARCH("medical",C425)),ISNUMBER(SEARCH("clinic",C425)),ISNUMBER(SEARCH("nursing",C425)),ISNUMBER(SEARCH("care cent",C425)),ISNUMBER(SEARCH("physician",B425)),ISNUMBER(SEARCH("doctor",B425)),ISNUMBER(SEARCH("dentist",B425)),ISNUMBER(SEARCH("surgeon",B425)),ISNUMBER(SEARCH("psychiat",B425)),ISNUMBER(SEARCH("medicine",B425))),"Healthcare",OR(ISNUMBER(SEARCH("llp",C425)),ISNUMBER(SEARCH("lawyer",B425)),ISNUMBER(SEARCH("attorney",B425)),ISNUMBER(SEARCH("legal",C425)),ISNUMBER(SEARCH("tetrault",C425)),ISNUMBER(SEARCH("morley",C425)),ISNUMBER(SEARCH("blg",C425)),ISNUMBER(SEARCH("lowy",C425)),ISNUMBER(SEARCH("riley",C425)),ISNUMBER(SEARCH("toomath",C425))),"Law",OR(ISNUMBER(SEARCH("reit",C425)),ISNUMBER(SEARCH("properties",C425)),ISNUMBER(SEARCH("realty",C425)),ISNUMBER(SEARCH("realtor",B425)),ISNUMBER(SEARCH("colliers",C425)),ISNUMBER(SEARCH("re/max",C425)),ISNUMBER(SEARCH("quadreal",C425)),ISNUMBER(SEARCH("vic management",C425))),"Real Estate",OR(ISNUMBER(SEARCH("deloitte",C425)),ISNUMBER(SEARCH("kpmg",C425)),ISNUMBER(SEARCH("pwc",C425)),ISNUMBER(SEARCH("consulting",C425)),ISNUMBER(SEARCH("consultant",B425)),ISNUMBER(SEARCH("advisory",C425)),ISNUMBER(SEARCH("philanthropic",C425)),ISNUMBER(SEARCH("argyle",C425)),ISNUMBER(SEARCH("quinn",C425))),"Consulting",OR(ISNUMBER(SEARCH("media",C425)),ISNUMBER(SEARCH("news",C425)),ISNUMBER(SEARCH("radio",C425)),ISNUMBER(SEARCH("film",C425)),ISNUMBER(SEARCH("journalist",B425)),ISNUMBER(SEARCH("columnist",B425)),ISNUMBER(SEARCH("globe",C425)),ISNUMBER(SEARCH("marketing",C425)),ISNUMBER(SEARCH("actor",B425))),"Media",OR(ISNUMBER(SEARCH("rbc",C425)),ISNUMBER(SEARCH("cibc",C425)),ISNUMBER(SEARCH("bmo",C425)),ISNUMBER(SEARCH("scotia",C425)),ISNUMBER(SEARCH("bank",C425)),ISNUMBER(SEARCH("capital",C425)),ISNUMBER(SEARCH("wealth",C425)),ISNUMBER(SEARCH("financial",C425)),ISNUMBER(SEARCH("securities",C425)),ISNUMBER(SEARCH("fidelity",C425)),ISNUMBER(SEARCH("guardian",C425)),ISNUMBER(SEARCH("wealthsimple",C425)),ISNUMBER(SEARCH("credit suisse",C425)),ISNUMBER(SEARCH("tmx",C425)),ISNUMBER(SEARCH("investors",C425)),ISNUMBER(SEARCH("trader",B425))),"Finance",OR(ISNUMBER(SEARCH("ventures",C425)),ISNUMBER(SEARCH("private equity",B425)),ISNUMBER(SEARCH("capital partners",C425))),"Private Equity / VC",OR(ISNUMBER(SEARCH("government",C425)),ISNUMBER(SEARCH("ministry",C425)),ISNUMBER(SEARCH("tribunal",C425)),ISNUMBER(SEARCH("tdsb",C425)),ISNUMBER(SEARCH("public service",C425))),"Government",OR(ISNUMBER(SEARCH("association",C425)),ISNUMBER(SEARCH("institute",C425)),ISNUMBER(SEARCH("foundation",C425))),"Nonprofit",OR(ISNUMBER(SEARCH("software",C425)),ISNUMBER(SEARCH("tech",C425)),ISNUMBER(SEARCH("systems",C425)),ISNUMBER(SEARCH("digital",C425)),ISNUMBER(SEARCH("engineering",C425)),ISNUMBER(SEARCH("solutions",C425))),"Technology",TRUE,"Other")</f>
        <v>Healthcare</v>
      </c>
    </row>
    <row r="426" spans="1:11" s="26" customFormat="1" x14ac:dyDescent="0.3">
      <c r="A426" s="4" t="s">
        <v>1033</v>
      </c>
      <c r="B426" s="4" t="s">
        <v>1557</v>
      </c>
      <c r="C426" s="4" t="s">
        <v>1034</v>
      </c>
      <c r="D426" s="4" t="s">
        <v>1035</v>
      </c>
      <c r="E426" s="20" t="s">
        <v>1280</v>
      </c>
      <c r="F426" s="5">
        <v>40854</v>
      </c>
      <c r="G426" s="3">
        <v>4.08</v>
      </c>
      <c r="H426" s="9">
        <v>60</v>
      </c>
      <c r="I426" s="31" t="s">
        <v>1055</v>
      </c>
      <c r="J426" s="10" t="s">
        <v>1056</v>
      </c>
      <c r="K426" s="10" t="s">
        <v>1058</v>
      </c>
    </row>
    <row r="427" spans="1:11" s="26" customFormat="1" x14ac:dyDescent="0.3">
      <c r="A427" s="11" t="s">
        <v>435</v>
      </c>
      <c r="B427" s="11" t="s">
        <v>436</v>
      </c>
      <c r="C427" s="13" t="s">
        <v>437</v>
      </c>
      <c r="D427" s="13" t="s">
        <v>438</v>
      </c>
      <c r="E427" s="17">
        <v>4000000</v>
      </c>
      <c r="F427" s="33">
        <v>43544</v>
      </c>
      <c r="G427" s="14">
        <v>3.88</v>
      </c>
      <c r="H427" s="9">
        <v>55</v>
      </c>
      <c r="I427" s="31" t="s">
        <v>1055</v>
      </c>
      <c r="J427" s="10" t="s">
        <v>1061</v>
      </c>
      <c r="K427" s="10" t="s">
        <v>1057</v>
      </c>
    </row>
    <row r="428" spans="1:11" s="26" customFormat="1" x14ac:dyDescent="0.3">
      <c r="A428" s="4" t="s">
        <v>223</v>
      </c>
      <c r="B428" s="4" t="s">
        <v>224</v>
      </c>
      <c r="C428" s="4" t="s">
        <v>225</v>
      </c>
      <c r="D428" s="4" t="s">
        <v>226</v>
      </c>
      <c r="E428" s="18">
        <v>2199000</v>
      </c>
      <c r="F428" s="5">
        <v>43069</v>
      </c>
      <c r="G428" s="6">
        <v>4.7130000000000001</v>
      </c>
      <c r="H428" s="9">
        <v>52</v>
      </c>
      <c r="I428" s="31" t="s">
        <v>1055</v>
      </c>
      <c r="J428" s="10" t="s">
        <v>1061</v>
      </c>
      <c r="K428" s="10" t="s">
        <v>1051</v>
      </c>
    </row>
    <row r="429" spans="1:11" s="26" customFormat="1" x14ac:dyDescent="0.3">
      <c r="A429" s="4" t="s">
        <v>548</v>
      </c>
      <c r="B429" s="4" t="s">
        <v>549</v>
      </c>
      <c r="C429" s="4" t="s">
        <v>550</v>
      </c>
      <c r="D429" s="4" t="s">
        <v>551</v>
      </c>
      <c r="E429" s="18">
        <v>3050000</v>
      </c>
      <c r="F429" s="5">
        <v>43656</v>
      </c>
      <c r="G429" s="6">
        <v>3.79</v>
      </c>
      <c r="H429" s="9">
        <v>52</v>
      </c>
      <c r="I429" s="31" t="s">
        <v>1055</v>
      </c>
      <c r="J429" s="10" t="s">
        <v>1061</v>
      </c>
      <c r="K429" s="10" t="s">
        <v>1051</v>
      </c>
    </row>
    <row r="430" spans="1:11" s="25" customFormat="1" x14ac:dyDescent="0.3">
      <c r="A430" s="4" t="s">
        <v>358</v>
      </c>
      <c r="B430" s="4" t="s">
        <v>1454</v>
      </c>
      <c r="C430" s="4" t="s">
        <v>359</v>
      </c>
      <c r="D430" s="4" t="s">
        <v>351</v>
      </c>
      <c r="E430" s="16">
        <v>5525000</v>
      </c>
      <c r="F430" s="5">
        <v>44377</v>
      </c>
      <c r="G430" s="6">
        <v>3.75</v>
      </c>
      <c r="H430" s="9">
        <v>52</v>
      </c>
      <c r="I430" s="31" t="s">
        <v>1055</v>
      </c>
      <c r="J430" s="10" t="s">
        <v>1061</v>
      </c>
      <c r="K430" s="10" t="s">
        <v>1051</v>
      </c>
    </row>
    <row r="431" spans="1:11" s="25" customFormat="1" x14ac:dyDescent="0.3">
      <c r="A431" s="7" t="s">
        <v>935</v>
      </c>
      <c r="B431" s="7" t="s">
        <v>1556</v>
      </c>
      <c r="C431" s="7" t="s">
        <v>936</v>
      </c>
      <c r="D431" s="7" t="s">
        <v>934</v>
      </c>
      <c r="E431" s="16">
        <v>1000000</v>
      </c>
      <c r="F431" s="34">
        <v>38908</v>
      </c>
      <c r="G431" s="3">
        <v>4.1399999999999997</v>
      </c>
      <c r="H431" s="9">
        <v>50</v>
      </c>
      <c r="I431" s="31" t="s">
        <v>1055</v>
      </c>
      <c r="J431" s="10" t="s">
        <v>1061</v>
      </c>
      <c r="K431" s="10" t="s">
        <v>1066</v>
      </c>
    </row>
    <row r="432" spans="1:11" s="25" customFormat="1" x14ac:dyDescent="0.3">
      <c r="A432" s="27" t="s">
        <v>1434</v>
      </c>
      <c r="B432" s="27" t="s">
        <v>1435</v>
      </c>
      <c r="C432" s="27" t="s">
        <v>1483</v>
      </c>
      <c r="D432" s="27" t="s">
        <v>1410</v>
      </c>
      <c r="E432" s="32">
        <v>1140000</v>
      </c>
      <c r="F432" s="28">
        <v>37994</v>
      </c>
      <c r="G432" s="29">
        <v>3.23</v>
      </c>
      <c r="H432" s="30" cm="1">
        <f t="array" ref="H432">_xlfn.IFS(I432="Founder / Owner",IF(ISNUMBER(SEARCH("owner",B432)),80,96),I432="C-Suite",IF(OR(ISNUMBER(SEARCH("ceo",B432)),ISNUMBER(SEARCH("chief executive",B432))),95,91),I432="Managing Director",86,I432="Partner",IF(OR(ISNUMBER(SEARCH("managing partner",B432)),ISNUMBER(SEARCH("general partner",B432))),88,85),I432="VP / Head",_xlfn.IFS(OR(ISNUMBER(SEARCH("vice president",B432)),ISNUMBER(SEARCH("executive vice",B432))),91,ISNUMBER(SEARCH("svp",B432)),77,TRUE,73),I432="Director",IF(ISNUMBER(SEARCH("principal",B432)),72,71),I432="Individual Contributor",32,OR(ISNUMBER(SEARCH("surgeon",B432)),ISNUMBER(SEARCH("physician",B432)),ISNUMBER(SEARCH("doctor",B432)),ISNUMBER(SEARCH("dentist",B432)),ISNUMBER(SEARCH("psychiat",B432)),ISNUMBER(SEARCH("oncolog",B432)),ISNUMBER(SEARCH("neurolog",B432)),ISNUMBER(SEARCH("patholog",B432)),ISNUMBER(SEARCH("medicine",B432)),ISNUMBER(SEARCH("obgyn",B432))),77,OR(ISNUMBER(SEARCH("portfolio manager",B432)),ISNUMBER(SEARCH("wealth advisor",B432))),81,OR(ISNUMBER(SEARCH("lawyer",B432)),ISNUMBER(SEARCH("attorney",B432))),68,ISNUMBER(SEARCH("counsel",B432)),66,ISNUMBER(SEARCH("professor",B432)),63,OR(ISNUMBER(SEARCH("engineer",B432)),ISNUMBER(SEARCH("consultant",B432))),62,ISNUMBER(SEARCH("senior manager",B432)),64,OR(ISNUMBER(SEARCH("realtor",B432)),ISNUMBER(SEARCH("broker",B432)),ISNUMBER(SEARCH("journalist",B432)),ISNUMBER(SEARCH("columnist",B432)),ISNUMBER(SEARCH("trader",B432)),ISNUMBER(SEARCH("actor",B432))),50,TRUE,60)</f>
        <v>50</v>
      </c>
      <c r="I432" s="31" t="str" cm="1">
        <f t="array" ref="I432">_xlfn.LET(_xlpm.p," "&amp;LOWER(SUBSTITUTE(SUBSTITUTE(SUBSTITUTE(B432,",","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2" s="31" t="str" cm="1">
        <f t="array" ref="J432">_xlfn.IFS(H432&gt;=90,"Very High",H432&gt;=80,"High",H432&gt;=56,"Medium",TRUE,"Low")</f>
        <v>Low</v>
      </c>
      <c r="K432" s="31" t="str" cm="1">
        <f t="array" ref="K432">_xlfn.IFS(OR(ISNUMBER(SEARCH("hospital",C432)),ISNUMBER(SEARCH("health",C432)),ISNUMBER(SEARCH("medical",C432)),ISNUMBER(SEARCH("clinic",C432)),ISNUMBER(SEARCH("nursing",C432)),ISNUMBER(SEARCH("care cent",C432)),ISNUMBER(SEARCH("physician",B432)),ISNUMBER(SEARCH("doctor",B432)),ISNUMBER(SEARCH("dentist",B432)),ISNUMBER(SEARCH("surgeon",B432)),ISNUMBER(SEARCH("psychiat",B432)),ISNUMBER(SEARCH("medicine",B432))),"Healthcare",OR(ISNUMBER(SEARCH("llp",C432)),ISNUMBER(SEARCH("lawyer",B432)),ISNUMBER(SEARCH("attorney",B432)),ISNUMBER(SEARCH("legal",C432)),ISNUMBER(SEARCH("tetrault",C432)),ISNUMBER(SEARCH("morley",C432)),ISNUMBER(SEARCH("blg",C432)),ISNUMBER(SEARCH("lowy",C432)),ISNUMBER(SEARCH("riley",C432)),ISNUMBER(SEARCH("toomath",C432))),"Law",OR(ISNUMBER(SEARCH("reit",C432)),ISNUMBER(SEARCH("properties",C432)),ISNUMBER(SEARCH("realty",C432)),ISNUMBER(SEARCH("realtor",B432)),ISNUMBER(SEARCH("colliers",C432)),ISNUMBER(SEARCH("re/max",C432)),ISNUMBER(SEARCH("quadreal",C432)),ISNUMBER(SEARCH("vic management",C432))),"Real Estate",OR(ISNUMBER(SEARCH("deloitte",C432)),ISNUMBER(SEARCH("kpmg",C432)),ISNUMBER(SEARCH("pwc",C432)),ISNUMBER(SEARCH("consulting",C432)),ISNUMBER(SEARCH("consultant",B432)),ISNUMBER(SEARCH("advisory",C432)),ISNUMBER(SEARCH("philanthropic",C432)),ISNUMBER(SEARCH("argyle",C432)),ISNUMBER(SEARCH("quinn",C432))),"Consulting",OR(ISNUMBER(SEARCH("media",C432)),ISNUMBER(SEARCH("news",C432)),ISNUMBER(SEARCH("radio",C432)),ISNUMBER(SEARCH("film",C432)),ISNUMBER(SEARCH("journalist",B432)),ISNUMBER(SEARCH("columnist",B432)),ISNUMBER(SEARCH("globe",C432)),ISNUMBER(SEARCH("marketing",C432)),ISNUMBER(SEARCH("actor",B432))),"Media",OR(ISNUMBER(SEARCH("rbc",C432)),ISNUMBER(SEARCH("cibc",C432)),ISNUMBER(SEARCH("bmo",C432)),ISNUMBER(SEARCH("scotia",C432)),ISNUMBER(SEARCH("bank",C432)),ISNUMBER(SEARCH("capital",C432)),ISNUMBER(SEARCH("wealth",C432)),ISNUMBER(SEARCH("financial",C432)),ISNUMBER(SEARCH("securities",C432)),ISNUMBER(SEARCH("fidelity",C432)),ISNUMBER(SEARCH("guardian",C432)),ISNUMBER(SEARCH("wealthsimple",C432)),ISNUMBER(SEARCH("credit suisse",C432)),ISNUMBER(SEARCH("tmx",C432)),ISNUMBER(SEARCH("investors",C432)),ISNUMBER(SEARCH("trader",B432))),"Finance",OR(ISNUMBER(SEARCH("ventures",C432)),ISNUMBER(SEARCH("private equity",B432)),ISNUMBER(SEARCH("capital partners",C432))),"Private Equity / VC",OR(ISNUMBER(SEARCH("government",C432)),ISNUMBER(SEARCH("ministry",C432)),ISNUMBER(SEARCH("tribunal",C432)),ISNUMBER(SEARCH("tdsb",C432)),ISNUMBER(SEARCH("public service",C432))),"Government",OR(ISNUMBER(SEARCH("association",C432)),ISNUMBER(SEARCH("institute",C432)),ISNUMBER(SEARCH("foundation",C432))),"Nonprofit",OR(ISNUMBER(SEARCH("software",C432)),ISNUMBER(SEARCH("tech",C432)),ISNUMBER(SEARCH("systems",C432)),ISNUMBER(SEARCH("digital",C432)),ISNUMBER(SEARCH("engineering",C432)),ISNUMBER(SEARCH("solutions",C432))),"Technology",TRUE,"Other")</f>
        <v>Media</v>
      </c>
    </row>
    <row r="433" spans="1:11" s="25" customFormat="1" x14ac:dyDescent="0.3">
      <c r="A433" s="7" t="s">
        <v>104</v>
      </c>
      <c r="B433" s="7" t="s">
        <v>105</v>
      </c>
      <c r="C433" s="7" t="s">
        <v>106</v>
      </c>
      <c r="D433" s="7" t="s">
        <v>107</v>
      </c>
      <c r="E433" s="16">
        <v>1200000</v>
      </c>
      <c r="F433" s="34">
        <v>45960</v>
      </c>
      <c r="G433" s="3">
        <v>4.7510000000000003</v>
      </c>
      <c r="H433" s="9">
        <v>50</v>
      </c>
      <c r="I433" s="31" t="s">
        <v>1055</v>
      </c>
      <c r="J433" s="10" t="s">
        <v>1061</v>
      </c>
      <c r="K433" s="10" t="s">
        <v>1066</v>
      </c>
    </row>
    <row r="434" spans="1:11" s="25" customFormat="1" x14ac:dyDescent="0.3">
      <c r="A434" s="4" t="s">
        <v>838</v>
      </c>
      <c r="B434" s="4" t="s">
        <v>646</v>
      </c>
      <c r="C434" s="4" t="s">
        <v>298</v>
      </c>
      <c r="D434" s="4" t="s">
        <v>839</v>
      </c>
      <c r="E434" s="18">
        <v>1600000</v>
      </c>
      <c r="F434" s="5">
        <v>38868</v>
      </c>
      <c r="G434" s="3">
        <v>4.09</v>
      </c>
      <c r="H434" s="9">
        <v>50</v>
      </c>
      <c r="I434" s="31" t="s">
        <v>1055</v>
      </c>
      <c r="J434" s="10" t="s">
        <v>1061</v>
      </c>
      <c r="K434" s="10" t="s">
        <v>1066</v>
      </c>
    </row>
    <row r="435" spans="1:11" s="25" customFormat="1" x14ac:dyDescent="0.3">
      <c r="A435" s="4" t="s">
        <v>807</v>
      </c>
      <c r="B435" s="4" t="s">
        <v>808</v>
      </c>
      <c r="C435" s="4" t="s">
        <v>809</v>
      </c>
      <c r="D435" s="4" t="s">
        <v>810</v>
      </c>
      <c r="E435" s="18">
        <v>1700000</v>
      </c>
      <c r="F435" s="5">
        <v>42037</v>
      </c>
      <c r="G435" s="3">
        <v>3.73</v>
      </c>
      <c r="H435" s="9">
        <v>50</v>
      </c>
      <c r="I435" s="31" t="s">
        <v>1055</v>
      </c>
      <c r="J435" s="10" t="s">
        <v>1061</v>
      </c>
      <c r="K435" s="10" t="s">
        <v>1066</v>
      </c>
    </row>
    <row r="436" spans="1:11" s="25" customFormat="1" x14ac:dyDescent="0.3">
      <c r="A436" s="4" t="s">
        <v>732</v>
      </c>
      <c r="B436" s="4" t="s">
        <v>733</v>
      </c>
      <c r="C436" s="4" t="s">
        <v>734</v>
      </c>
      <c r="D436" s="4" t="s">
        <v>735</v>
      </c>
      <c r="E436" s="18">
        <v>2100000</v>
      </c>
      <c r="F436" s="5">
        <v>41467</v>
      </c>
      <c r="G436" s="6">
        <v>4.17</v>
      </c>
      <c r="H436" s="9">
        <v>50</v>
      </c>
      <c r="I436" s="31" t="s">
        <v>1055</v>
      </c>
      <c r="J436" s="10" t="s">
        <v>1061</v>
      </c>
      <c r="K436" s="10" t="s">
        <v>1066</v>
      </c>
    </row>
    <row r="437" spans="1:11" s="25" customFormat="1" x14ac:dyDescent="0.3">
      <c r="A437" s="4" t="s">
        <v>645</v>
      </c>
      <c r="B437" s="4" t="s">
        <v>646</v>
      </c>
      <c r="C437" s="4" t="s">
        <v>1483</v>
      </c>
      <c r="D437" s="4" t="s">
        <v>644</v>
      </c>
      <c r="E437" s="18">
        <v>2420000</v>
      </c>
      <c r="F437" s="5">
        <v>40717</v>
      </c>
      <c r="G437" s="6">
        <v>3.72</v>
      </c>
      <c r="H437" s="9">
        <v>50</v>
      </c>
      <c r="I437" s="31" t="s">
        <v>1055</v>
      </c>
      <c r="J437" s="10" t="s">
        <v>1061</v>
      </c>
      <c r="K437" s="10" t="s">
        <v>1066</v>
      </c>
    </row>
    <row r="438" spans="1:11" s="25" customFormat="1" x14ac:dyDescent="0.3">
      <c r="A438" s="27" t="s">
        <v>1421</v>
      </c>
      <c r="B438" s="27" t="s">
        <v>1422</v>
      </c>
      <c r="C438" s="27" t="s">
        <v>1423</v>
      </c>
      <c r="D438" s="27" t="s">
        <v>1424</v>
      </c>
      <c r="E438" s="32">
        <v>2847000</v>
      </c>
      <c r="F438" s="28">
        <v>45596</v>
      </c>
      <c r="G438" s="29">
        <v>3.22</v>
      </c>
      <c r="H438" s="30" cm="1">
        <f t="array" ref="H438">_xlfn.IFS(I438="Founder / Owner",IF(ISNUMBER(SEARCH("owner",B438)),80,96),I438="C-Suite",IF(OR(ISNUMBER(SEARCH("ceo",B438)),ISNUMBER(SEARCH("chief executive",B438))),95,91),I438="Managing Director",86,I438="Partner",IF(OR(ISNUMBER(SEARCH("managing partner",B438)),ISNUMBER(SEARCH("general partner",B438))),88,85),I438="VP / Head",_xlfn.IFS(OR(ISNUMBER(SEARCH("vice president",B438)),ISNUMBER(SEARCH("executive vice",B438))),91,ISNUMBER(SEARCH("svp",B438)),77,TRUE,73),I438="Director",IF(ISNUMBER(SEARCH("principal",B438)),72,71),I438="Individual Contributor",32,OR(ISNUMBER(SEARCH("surgeon",B438)),ISNUMBER(SEARCH("physician",B438)),ISNUMBER(SEARCH("doctor",B438)),ISNUMBER(SEARCH("dentist",B438)),ISNUMBER(SEARCH("psychiat",B438)),ISNUMBER(SEARCH("oncolog",B438)),ISNUMBER(SEARCH("neurolog",B438)),ISNUMBER(SEARCH("patholog",B438)),ISNUMBER(SEARCH("medicine",B438)),ISNUMBER(SEARCH("obgyn",B438))),77,OR(ISNUMBER(SEARCH("portfolio manager",B438)),ISNUMBER(SEARCH("wealth advisor",B438))),81,OR(ISNUMBER(SEARCH("lawyer",B438)),ISNUMBER(SEARCH("attorney",B438))),68,ISNUMBER(SEARCH("counsel",B438)),66,ISNUMBER(SEARCH("professor",B438)),63,OR(ISNUMBER(SEARCH("engineer",B438)),ISNUMBER(SEARCH("consultant",B438))),62,ISNUMBER(SEARCH("senior manager",B438)),64,OR(ISNUMBER(SEARCH("realtor",B438)),ISNUMBER(SEARCH("broker",B438)),ISNUMBER(SEARCH("journalist",B438)),ISNUMBER(SEARCH("columnist",B438)),ISNUMBER(SEARCH("trader",B438)),ISNUMBER(SEARCH("actor",B438))),50,TRUE,60)</f>
        <v>50</v>
      </c>
      <c r="I438" s="31" t="str" cm="1">
        <f t="array" ref="I438">_xlfn.LET(_xlpm.p," "&amp;LOWER(SUBSTITUTE(SUBSTITUTE(SUBSTITUTE(B438,",","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8" s="31" t="str" cm="1">
        <f t="array" ref="J438">_xlfn.IFS(H438&gt;=90,"Very High",H438&gt;=80,"High",H438&gt;=56,"Medium",TRUE,"Low")</f>
        <v>Low</v>
      </c>
      <c r="K438" s="31" t="str" cm="1">
        <f t="array" ref="K438">_xlfn.IFS(OR(ISNUMBER(SEARCH("hospital",C438)),ISNUMBER(SEARCH("health",C438)),ISNUMBER(SEARCH("medical",C438)),ISNUMBER(SEARCH("clinic",C438)),ISNUMBER(SEARCH("nursing",C438)),ISNUMBER(SEARCH("care cent",C438)),ISNUMBER(SEARCH("physician",B438)),ISNUMBER(SEARCH("doctor",B438)),ISNUMBER(SEARCH("dentist",B438)),ISNUMBER(SEARCH("surgeon",B438)),ISNUMBER(SEARCH("psychiat",B438)),ISNUMBER(SEARCH("medicine",B438))),"Healthcare",OR(ISNUMBER(SEARCH("llp",C438)),ISNUMBER(SEARCH("lawyer",B438)),ISNUMBER(SEARCH("attorney",B438)),ISNUMBER(SEARCH("legal",C438)),ISNUMBER(SEARCH("tetrault",C438)),ISNUMBER(SEARCH("morley",C438)),ISNUMBER(SEARCH("blg",C438)),ISNUMBER(SEARCH("lowy",C438)),ISNUMBER(SEARCH("riley",C438)),ISNUMBER(SEARCH("toomath",C438))),"Law",OR(ISNUMBER(SEARCH("reit",C438)),ISNUMBER(SEARCH("properties",C438)),ISNUMBER(SEARCH("realty",C438)),ISNUMBER(SEARCH("realtor",B438)),ISNUMBER(SEARCH("colliers",C438)),ISNUMBER(SEARCH("re/max",C438)),ISNUMBER(SEARCH("quadreal",C438)),ISNUMBER(SEARCH("vic management",C438))),"Real Estate",OR(ISNUMBER(SEARCH("deloitte",C438)),ISNUMBER(SEARCH("kpmg",C438)),ISNUMBER(SEARCH("pwc",C438)),ISNUMBER(SEARCH("consulting",C438)),ISNUMBER(SEARCH("consultant",B438)),ISNUMBER(SEARCH("advisory",C438)),ISNUMBER(SEARCH("philanthropic",C438)),ISNUMBER(SEARCH("argyle",C438)),ISNUMBER(SEARCH("quinn",C438))),"Consulting",OR(ISNUMBER(SEARCH("media",C438)),ISNUMBER(SEARCH("news",C438)),ISNUMBER(SEARCH("radio",C438)),ISNUMBER(SEARCH("film",C438)),ISNUMBER(SEARCH("journalist",B438)),ISNUMBER(SEARCH("columnist",B438)),ISNUMBER(SEARCH("globe",C438)),ISNUMBER(SEARCH("marketing",C438)),ISNUMBER(SEARCH("actor",B438))),"Media",OR(ISNUMBER(SEARCH("rbc",C438)),ISNUMBER(SEARCH("cibc",C438)),ISNUMBER(SEARCH("bmo",C438)),ISNUMBER(SEARCH("scotia",C438)),ISNUMBER(SEARCH("bank",C438)),ISNUMBER(SEARCH("capital",C438)),ISNUMBER(SEARCH("wealth",C438)),ISNUMBER(SEARCH("financial",C438)),ISNUMBER(SEARCH("securities",C438)),ISNUMBER(SEARCH("fidelity",C438)),ISNUMBER(SEARCH("guardian",C438)),ISNUMBER(SEARCH("wealthsimple",C438)),ISNUMBER(SEARCH("credit suisse",C438)),ISNUMBER(SEARCH("tmx",C438)),ISNUMBER(SEARCH("investors",C438)),ISNUMBER(SEARCH("trader",B438))),"Finance",OR(ISNUMBER(SEARCH("ventures",C438)),ISNUMBER(SEARCH("private equity",B438)),ISNUMBER(SEARCH("capital partners",C438))),"Private Equity / VC",OR(ISNUMBER(SEARCH("government",C438)),ISNUMBER(SEARCH("ministry",C438)),ISNUMBER(SEARCH("tribunal",C438)),ISNUMBER(SEARCH("tdsb",C438)),ISNUMBER(SEARCH("public service",C438))),"Government",OR(ISNUMBER(SEARCH("association",C438)),ISNUMBER(SEARCH("institute",C438)),ISNUMBER(SEARCH("foundation",C438))),"Nonprofit",OR(ISNUMBER(SEARCH("software",C438)),ISNUMBER(SEARCH("tech",C438)),ISNUMBER(SEARCH("systems",C438)),ISNUMBER(SEARCH("digital",C438)),ISNUMBER(SEARCH("engineering",C438)),ISNUMBER(SEARCH("solutions",C438))),"Technology",TRUE,"Other")</f>
        <v>Real Estate</v>
      </c>
    </row>
    <row r="439" spans="1:11" s="25" customFormat="1" x14ac:dyDescent="0.3">
      <c r="A439" s="27" t="s">
        <v>1437</v>
      </c>
      <c r="B439" s="27" t="s">
        <v>1454</v>
      </c>
      <c r="C439" s="27" t="s">
        <v>1455</v>
      </c>
      <c r="D439" s="27" t="s">
        <v>1436</v>
      </c>
      <c r="E439" s="32">
        <v>2975000</v>
      </c>
      <c r="F439" s="28">
        <v>44176</v>
      </c>
      <c r="G439" s="29">
        <v>3.15</v>
      </c>
      <c r="H439" s="30" cm="1">
        <f t="array" ref="H439">_xlfn.IFS(I439="Founder / Owner",IF(ISNUMBER(SEARCH("owner",B439)),80,96),I439="C-Suite",IF(OR(ISNUMBER(SEARCH("ceo",B439)),ISNUMBER(SEARCH("chief executive",B439))),95,91),I439="Managing Director",86,I439="Partner",IF(OR(ISNUMBER(SEARCH("managing partner",B439)),ISNUMBER(SEARCH("general partner",B439))),88,85),I439="VP / Head",_xlfn.IFS(OR(ISNUMBER(SEARCH("vice president",B439)),ISNUMBER(SEARCH("executive vice",B439))),91,ISNUMBER(SEARCH("svp",B439)),77,TRUE,73),I439="Director",IF(ISNUMBER(SEARCH("principal",B439)),72,71),I439="Individual Contributor",32,OR(ISNUMBER(SEARCH("surgeon",B439)),ISNUMBER(SEARCH("physician",B439)),ISNUMBER(SEARCH("doctor",B439)),ISNUMBER(SEARCH("dentist",B439)),ISNUMBER(SEARCH("psychiat",B439)),ISNUMBER(SEARCH("oncolog",B439)),ISNUMBER(SEARCH("neurolog",B439)),ISNUMBER(SEARCH("patholog",B439)),ISNUMBER(SEARCH("medicine",B439)),ISNUMBER(SEARCH("obgyn",B439))),77,OR(ISNUMBER(SEARCH("portfolio manager",B439)),ISNUMBER(SEARCH("wealth advisor",B439))),81,OR(ISNUMBER(SEARCH("lawyer",B439)),ISNUMBER(SEARCH("attorney",B439))),68,ISNUMBER(SEARCH("counsel",B439)),66,ISNUMBER(SEARCH("professor",B439)),63,OR(ISNUMBER(SEARCH("engineer",B439)),ISNUMBER(SEARCH("consultant",B439))),62,ISNUMBER(SEARCH("senior manager",B439)),64,OR(ISNUMBER(SEARCH("realtor",B439)),ISNUMBER(SEARCH("broker",B439)),ISNUMBER(SEARCH("journalist",B439)),ISNUMBER(SEARCH("columnist",B439)),ISNUMBER(SEARCH("trader",B439)),ISNUMBER(SEARCH("actor",B439))),50,TRUE,60)</f>
        <v>50</v>
      </c>
      <c r="I439" s="31" t="str" cm="1">
        <f t="array" ref="I439">_xlfn.LET(_xlpm.p," "&amp;LOWER(SUBSTITUTE(SUBSTITUTE(SUBSTITUTE(B439,",","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9" s="31" t="str" cm="1">
        <f t="array" ref="J439">_xlfn.IFS(H439&gt;=90,"Very High",H439&gt;=80,"High",H439&gt;=56,"Medium",TRUE,"Low")</f>
        <v>Low</v>
      </c>
      <c r="K439" s="31" t="str" cm="1">
        <f t="array" ref="K439">_xlfn.IFS(OR(ISNUMBER(SEARCH("hospital",C439)),ISNUMBER(SEARCH("health",C439)),ISNUMBER(SEARCH("medical",C439)),ISNUMBER(SEARCH("clinic",C439)),ISNUMBER(SEARCH("nursing",C439)),ISNUMBER(SEARCH("care cent",C439)),ISNUMBER(SEARCH("physician",B439)),ISNUMBER(SEARCH("doctor",B439)),ISNUMBER(SEARCH("dentist",B439)),ISNUMBER(SEARCH("surgeon",B439)),ISNUMBER(SEARCH("psychiat",B439)),ISNUMBER(SEARCH("medicine",B439))),"Healthcare",OR(ISNUMBER(SEARCH("llp",C439)),ISNUMBER(SEARCH("lawyer",B439)),ISNUMBER(SEARCH("attorney",B439)),ISNUMBER(SEARCH("legal",C439)),ISNUMBER(SEARCH("tetrault",C439)),ISNUMBER(SEARCH("morley",C439)),ISNUMBER(SEARCH("blg",C439)),ISNUMBER(SEARCH("lowy",C439)),ISNUMBER(SEARCH("riley",C439)),ISNUMBER(SEARCH("toomath",C439))),"Law",OR(ISNUMBER(SEARCH("reit",C439)),ISNUMBER(SEARCH("properties",C439)),ISNUMBER(SEARCH("realty",C439)),ISNUMBER(SEARCH("realtor",B439)),ISNUMBER(SEARCH("colliers",C439)),ISNUMBER(SEARCH("re/max",C439)),ISNUMBER(SEARCH("quadreal",C439)),ISNUMBER(SEARCH("vic management",C439))),"Real Estate",OR(ISNUMBER(SEARCH("deloitte",C439)),ISNUMBER(SEARCH("kpmg",C439)),ISNUMBER(SEARCH("pwc",C439)),ISNUMBER(SEARCH("consulting",C439)),ISNUMBER(SEARCH("consultant",B439)),ISNUMBER(SEARCH("advisory",C439)),ISNUMBER(SEARCH("philanthropic",C439)),ISNUMBER(SEARCH("argyle",C439)),ISNUMBER(SEARCH("quinn",C439))),"Consulting",OR(ISNUMBER(SEARCH("media",C439)),ISNUMBER(SEARCH("news",C439)),ISNUMBER(SEARCH("radio",C439)),ISNUMBER(SEARCH("film",C439)),ISNUMBER(SEARCH("journalist",B439)),ISNUMBER(SEARCH("columnist",B439)),ISNUMBER(SEARCH("globe",C439)),ISNUMBER(SEARCH("marketing",C439)),ISNUMBER(SEARCH("actor",B439))),"Media",OR(ISNUMBER(SEARCH("rbc",C439)),ISNUMBER(SEARCH("cibc",C439)),ISNUMBER(SEARCH("bmo",C439)),ISNUMBER(SEARCH("scotia",C439)),ISNUMBER(SEARCH("bank",C439)),ISNUMBER(SEARCH("capital",C439)),ISNUMBER(SEARCH("wealth",C439)),ISNUMBER(SEARCH("financial",C439)),ISNUMBER(SEARCH("securities",C439)),ISNUMBER(SEARCH("fidelity",C439)),ISNUMBER(SEARCH("guardian",C439)),ISNUMBER(SEARCH("wealthsimple",C439)),ISNUMBER(SEARCH("credit suisse",C439)),ISNUMBER(SEARCH("tmx",C439)),ISNUMBER(SEARCH("investors",C439)),ISNUMBER(SEARCH("trader",B439))),"Finance",OR(ISNUMBER(SEARCH("ventures",C439)),ISNUMBER(SEARCH("private equity",B439)),ISNUMBER(SEARCH("capital partners",C439))),"Private Equity / VC",OR(ISNUMBER(SEARCH("government",C439)),ISNUMBER(SEARCH("ministry",C439)),ISNUMBER(SEARCH("tribunal",C439)),ISNUMBER(SEARCH("tdsb",C439)),ISNUMBER(SEARCH("public service",C439))),"Government",OR(ISNUMBER(SEARCH("association",C439)),ISNUMBER(SEARCH("institute",C439)),ISNUMBER(SEARCH("foundation",C439))),"Nonprofit",OR(ISNUMBER(SEARCH("software",C439)),ISNUMBER(SEARCH("tech",C439)),ISNUMBER(SEARCH("systems",C439)),ISNUMBER(SEARCH("digital",C439)),ISNUMBER(SEARCH("engineering",C439)),ISNUMBER(SEARCH("solutions",C439))),"Technology",TRUE,"Other")</f>
        <v>Real Estate</v>
      </c>
    </row>
    <row r="440" spans="1:11" s="25" customFormat="1" x14ac:dyDescent="0.3">
      <c r="A440" s="27" t="s">
        <v>1375</v>
      </c>
      <c r="B440" s="27" t="s">
        <v>1452</v>
      </c>
      <c r="C440" s="27" t="s">
        <v>1453</v>
      </c>
      <c r="D440" s="27" t="s">
        <v>1376</v>
      </c>
      <c r="E440" s="32">
        <v>3000000</v>
      </c>
      <c r="F440" s="28">
        <v>45505</v>
      </c>
      <c r="G440" s="29">
        <v>3.16</v>
      </c>
      <c r="H440" s="30" cm="1">
        <f t="array" ref="H440">_xlfn.IFS(I440="Founder / Owner",IF(ISNUMBER(SEARCH("owner",B440)),80,96),I440="C-Suite",IF(OR(ISNUMBER(SEARCH("ceo",B440)),ISNUMBER(SEARCH("chief executive",B440))),95,91),I440="Managing Director",86,I440="Partner",IF(OR(ISNUMBER(SEARCH("managing partner",B440)),ISNUMBER(SEARCH("general partner",B440))),88,85),I440="VP / Head",_xlfn.IFS(OR(ISNUMBER(SEARCH("vice president",B440)),ISNUMBER(SEARCH("executive vice",B440))),91,ISNUMBER(SEARCH("svp",B440)),77,TRUE,73),I440="Director",IF(ISNUMBER(SEARCH("principal",B440)),72,71),I440="Individual Contributor",32,OR(ISNUMBER(SEARCH("surgeon",B440)),ISNUMBER(SEARCH("physician",B440)),ISNUMBER(SEARCH("doctor",B440)),ISNUMBER(SEARCH("dentist",B440)),ISNUMBER(SEARCH("psychiat",B440)),ISNUMBER(SEARCH("oncolog",B440)),ISNUMBER(SEARCH("neurolog",B440)),ISNUMBER(SEARCH("patholog",B440)),ISNUMBER(SEARCH("medicine",B440)),ISNUMBER(SEARCH("obgyn",B440))),77,OR(ISNUMBER(SEARCH("portfolio manager",B440)),ISNUMBER(SEARCH("wealth advisor",B440))),81,OR(ISNUMBER(SEARCH("lawyer",B440)),ISNUMBER(SEARCH("attorney",B440))),68,ISNUMBER(SEARCH("counsel",B440)),66,ISNUMBER(SEARCH("professor",B440)),63,OR(ISNUMBER(SEARCH("engineer",B440)),ISNUMBER(SEARCH("consultant",B440))),62,ISNUMBER(SEARCH("senior manager",B440)),64,OR(ISNUMBER(SEARCH("realtor",B440)),ISNUMBER(SEARCH("broker",B440)),ISNUMBER(SEARCH("journalist",B440)),ISNUMBER(SEARCH("columnist",B440)),ISNUMBER(SEARCH("trader",B440)),ISNUMBER(SEARCH("actor",B440))),50,TRUE,60)</f>
        <v>50</v>
      </c>
      <c r="I440" s="31" t="str" cm="1">
        <f t="array" ref="I440">_xlfn.LET(_xlpm.p," "&amp;LOWER(SUBSTITUTE(SUBSTITUTE(SUBSTITUTE(B440,",","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0" s="31" t="str" cm="1">
        <f t="array" ref="J440">_xlfn.IFS(H440&gt;=90,"Very High",H440&gt;=80,"High",H440&gt;=56,"Medium",TRUE,"Low")</f>
        <v>Low</v>
      </c>
      <c r="K440" s="31" t="str" cm="1">
        <f t="array" ref="K440">_xlfn.IFS(OR(ISNUMBER(SEARCH("hospital",C440)),ISNUMBER(SEARCH("health",C440)),ISNUMBER(SEARCH("medical",C440)),ISNUMBER(SEARCH("clinic",C440)),ISNUMBER(SEARCH("nursing",C440)),ISNUMBER(SEARCH("care cent",C440)),ISNUMBER(SEARCH("physician",B440)),ISNUMBER(SEARCH("doctor",B440)),ISNUMBER(SEARCH("dentist",B440)),ISNUMBER(SEARCH("surgeon",B440)),ISNUMBER(SEARCH("psychiat",B440)),ISNUMBER(SEARCH("medicine",B440))),"Healthcare",OR(ISNUMBER(SEARCH("llp",C440)),ISNUMBER(SEARCH("lawyer",B440)),ISNUMBER(SEARCH("attorney",B440)),ISNUMBER(SEARCH("legal",C440)),ISNUMBER(SEARCH("tetrault",C440)),ISNUMBER(SEARCH("morley",C440)),ISNUMBER(SEARCH("blg",C440)),ISNUMBER(SEARCH("lowy",C440)),ISNUMBER(SEARCH("riley",C440)),ISNUMBER(SEARCH("toomath",C440))),"Law",OR(ISNUMBER(SEARCH("reit",C440)),ISNUMBER(SEARCH("properties",C440)),ISNUMBER(SEARCH("realty",C440)),ISNUMBER(SEARCH("realtor",B440)),ISNUMBER(SEARCH("colliers",C440)),ISNUMBER(SEARCH("re/max",C440)),ISNUMBER(SEARCH("quadreal",C440)),ISNUMBER(SEARCH("vic management",C440))),"Real Estate",OR(ISNUMBER(SEARCH("deloitte",C440)),ISNUMBER(SEARCH("kpmg",C440)),ISNUMBER(SEARCH("pwc",C440)),ISNUMBER(SEARCH("consulting",C440)),ISNUMBER(SEARCH("consultant",B440)),ISNUMBER(SEARCH("advisory",C440)),ISNUMBER(SEARCH("philanthropic",C440)),ISNUMBER(SEARCH("argyle",C440)),ISNUMBER(SEARCH("quinn",C440))),"Consulting",OR(ISNUMBER(SEARCH("media",C440)),ISNUMBER(SEARCH("news",C440)),ISNUMBER(SEARCH("radio",C440)),ISNUMBER(SEARCH("film",C440)),ISNUMBER(SEARCH("journalist",B440)),ISNUMBER(SEARCH("columnist",B440)),ISNUMBER(SEARCH("globe",C440)),ISNUMBER(SEARCH("marketing",C440)),ISNUMBER(SEARCH("actor",B440))),"Media",OR(ISNUMBER(SEARCH("rbc",C440)),ISNUMBER(SEARCH("cibc",C440)),ISNUMBER(SEARCH("bmo",C440)),ISNUMBER(SEARCH("scotia",C440)),ISNUMBER(SEARCH("bank",C440)),ISNUMBER(SEARCH("capital",C440)),ISNUMBER(SEARCH("wealth",C440)),ISNUMBER(SEARCH("financial",C440)),ISNUMBER(SEARCH("securities",C440)),ISNUMBER(SEARCH("fidelity",C440)),ISNUMBER(SEARCH("guardian",C440)),ISNUMBER(SEARCH("wealthsimple",C440)),ISNUMBER(SEARCH("credit suisse",C440)),ISNUMBER(SEARCH("tmx",C440)),ISNUMBER(SEARCH("investors",C440)),ISNUMBER(SEARCH("trader",B440))),"Finance",OR(ISNUMBER(SEARCH("ventures",C440)),ISNUMBER(SEARCH("private equity",B440)),ISNUMBER(SEARCH("capital partners",C440))),"Private Equity / VC",OR(ISNUMBER(SEARCH("government",C440)),ISNUMBER(SEARCH("ministry",C440)),ISNUMBER(SEARCH("tribunal",C440)),ISNUMBER(SEARCH("tdsb",C440)),ISNUMBER(SEARCH("public service",C440))),"Government",OR(ISNUMBER(SEARCH("association",C440)),ISNUMBER(SEARCH("institute",C440)),ISNUMBER(SEARCH("foundation",C440))),"Nonprofit",OR(ISNUMBER(SEARCH("software",C440)),ISNUMBER(SEARCH("tech",C440)),ISNUMBER(SEARCH("systems",C440)),ISNUMBER(SEARCH("digital",C440)),ISNUMBER(SEARCH("engineering",C440)),ISNUMBER(SEARCH("solutions",C440))),"Technology",TRUE,"Other")</f>
        <v>Media</v>
      </c>
    </row>
    <row r="441" spans="1:11" s="25" customFormat="1" x14ac:dyDescent="0.3">
      <c r="A441" s="4" t="s">
        <v>273</v>
      </c>
      <c r="B441" s="4" t="s">
        <v>274</v>
      </c>
      <c r="C441" s="4" t="s">
        <v>275</v>
      </c>
      <c r="D441" s="4" t="s">
        <v>182</v>
      </c>
      <c r="E441" s="18">
        <v>3600100</v>
      </c>
      <c r="F441" s="5">
        <v>44778</v>
      </c>
      <c r="G441" s="6">
        <v>4.633</v>
      </c>
      <c r="H441" s="9">
        <v>50</v>
      </c>
      <c r="I441" s="31" t="s">
        <v>1055</v>
      </c>
      <c r="J441" s="10" t="s">
        <v>1061</v>
      </c>
      <c r="K441" s="10" t="s">
        <v>1066</v>
      </c>
    </row>
    <row r="442" spans="1:11" s="25" customFormat="1" x14ac:dyDescent="0.3">
      <c r="A442" s="4" t="s">
        <v>1095</v>
      </c>
      <c r="B442" s="4" t="s">
        <v>646</v>
      </c>
      <c r="C442" s="4" t="s">
        <v>354</v>
      </c>
      <c r="D442" s="4" t="s">
        <v>1096</v>
      </c>
      <c r="E442" s="18">
        <v>3775000</v>
      </c>
      <c r="F442" s="5">
        <v>43735</v>
      </c>
      <c r="G442" s="6">
        <v>3.28</v>
      </c>
      <c r="H442" s="9">
        <v>50</v>
      </c>
      <c r="I442" s="31" t="s">
        <v>1055</v>
      </c>
      <c r="J442" s="10" t="s">
        <v>1061</v>
      </c>
      <c r="K442" s="10" t="s">
        <v>1066</v>
      </c>
    </row>
    <row r="443" spans="1:11" s="25" customFormat="1" x14ac:dyDescent="0.3">
      <c r="A443" s="27" t="s">
        <v>1336</v>
      </c>
      <c r="B443" s="27" t="s">
        <v>1550</v>
      </c>
      <c r="C443" s="27" t="s">
        <v>1447</v>
      </c>
      <c r="D443" s="27" t="s">
        <v>1337</v>
      </c>
      <c r="E443" s="32">
        <v>4385000</v>
      </c>
      <c r="F443" s="28">
        <v>45460</v>
      </c>
      <c r="G443" s="29">
        <v>2.97</v>
      </c>
      <c r="H443" s="30" cm="1">
        <f t="array" ref="H443">_xlfn.IFS(I443="Founder / Owner",IF(ISNUMBER(SEARCH("owner",B443)),80,96),I443="C-Suite",IF(OR(ISNUMBER(SEARCH("ceo",B443)),ISNUMBER(SEARCH("chief executive",B443))),95,91),I443="Managing Director",86,I443="Partner",IF(OR(ISNUMBER(SEARCH("managing partner",B443)),ISNUMBER(SEARCH("general partner",B443))),88,85),I443="VP / Head",_xlfn.IFS(OR(ISNUMBER(SEARCH("vice president",B443)),ISNUMBER(SEARCH("executive vice",B443))),91,ISNUMBER(SEARCH("svp",B443)),77,TRUE,73),I443="Director",IF(ISNUMBER(SEARCH("principal",B443)),72,71),I443="Individual Contributor",32,OR(ISNUMBER(SEARCH("surgeon",B443)),ISNUMBER(SEARCH("physician",B443)),ISNUMBER(SEARCH("doctor",B443)),ISNUMBER(SEARCH("dentist",B443)),ISNUMBER(SEARCH("psychiat",B443)),ISNUMBER(SEARCH("oncolog",B443)),ISNUMBER(SEARCH("neurolog",B443)),ISNUMBER(SEARCH("patholog",B443)),ISNUMBER(SEARCH("medicine",B443)),ISNUMBER(SEARCH("obgyn",B443))),77,OR(ISNUMBER(SEARCH("portfolio manager",B443)),ISNUMBER(SEARCH("wealth advisor",B443))),81,OR(ISNUMBER(SEARCH("lawyer",B443)),ISNUMBER(SEARCH("attorney",B443))),68,ISNUMBER(SEARCH("counsel",B443)),66,ISNUMBER(SEARCH("professor",B443)),63,OR(ISNUMBER(SEARCH("engineer",B443)),ISNUMBER(SEARCH("consultant",B443))),62,ISNUMBER(SEARCH("senior manager",B443)),64,OR(ISNUMBER(SEARCH("realtor",B443)),ISNUMBER(SEARCH("broker",B443)),ISNUMBER(SEARCH("journalist",B443)),ISNUMBER(SEARCH("columnist",B443)),ISNUMBER(SEARCH("trader",B443)),ISNUMBER(SEARCH("actor",B443))),50,TRUE,60)</f>
        <v>50</v>
      </c>
      <c r="I443" s="31" t="str" cm="1">
        <f t="array" ref="I443">_xlfn.LET(_xlpm.p," "&amp;LOWER(SUBSTITUTE(SUBSTITUTE(SUBSTITUTE(B443,",","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3" s="31" t="str" cm="1">
        <f t="array" ref="J443">_xlfn.IFS(H443&gt;=90,"Very High",H443&gt;=80,"High",H443&gt;=56,"Medium",TRUE,"Low")</f>
        <v>Low</v>
      </c>
      <c r="K443" s="31" t="str" cm="1">
        <f t="array" ref="K443">_xlfn.IFS(OR(ISNUMBER(SEARCH("hospital",C443)),ISNUMBER(SEARCH("health",C443)),ISNUMBER(SEARCH("medical",C443)),ISNUMBER(SEARCH("clinic",C443)),ISNUMBER(SEARCH("nursing",C443)),ISNUMBER(SEARCH("care cent",C443)),ISNUMBER(SEARCH("physician",B443)),ISNUMBER(SEARCH("doctor",B443)),ISNUMBER(SEARCH("dentist",B443)),ISNUMBER(SEARCH("surgeon",B443)),ISNUMBER(SEARCH("psychiat",B443)),ISNUMBER(SEARCH("medicine",B443))),"Healthcare",OR(ISNUMBER(SEARCH("llp",C443)),ISNUMBER(SEARCH("lawyer",B443)),ISNUMBER(SEARCH("attorney",B443)),ISNUMBER(SEARCH("legal",C443)),ISNUMBER(SEARCH("tetrault",C443)),ISNUMBER(SEARCH("morley",C443)),ISNUMBER(SEARCH("blg",C443)),ISNUMBER(SEARCH("lowy",C443)),ISNUMBER(SEARCH("riley",C443)),ISNUMBER(SEARCH("toomath",C443))),"Law",OR(ISNUMBER(SEARCH("reit",C443)),ISNUMBER(SEARCH("properties",C443)),ISNUMBER(SEARCH("realty",C443)),ISNUMBER(SEARCH("realtor",B443)),ISNUMBER(SEARCH("colliers",C443)),ISNUMBER(SEARCH("re/max",C443)),ISNUMBER(SEARCH("quadreal",C443)),ISNUMBER(SEARCH("vic management",C443))),"Real Estate",OR(ISNUMBER(SEARCH("deloitte",C443)),ISNUMBER(SEARCH("kpmg",C443)),ISNUMBER(SEARCH("pwc",C443)),ISNUMBER(SEARCH("consulting",C443)),ISNUMBER(SEARCH("consultant",B443)),ISNUMBER(SEARCH("advisory",C443)),ISNUMBER(SEARCH("philanthropic",C443)),ISNUMBER(SEARCH("argyle",C443)),ISNUMBER(SEARCH("quinn",C443))),"Consulting",OR(ISNUMBER(SEARCH("media",C443)),ISNUMBER(SEARCH("news",C443)),ISNUMBER(SEARCH("radio",C443)),ISNUMBER(SEARCH("film",C443)),ISNUMBER(SEARCH("journalist",B443)),ISNUMBER(SEARCH("columnist",B443)),ISNUMBER(SEARCH("globe",C443)),ISNUMBER(SEARCH("marketing",C443)),ISNUMBER(SEARCH("actor",B443))),"Media",OR(ISNUMBER(SEARCH("rbc",C443)),ISNUMBER(SEARCH("cibc",C443)),ISNUMBER(SEARCH("bmo",C443)),ISNUMBER(SEARCH("scotia",C443)),ISNUMBER(SEARCH("bank",C443)),ISNUMBER(SEARCH("capital",C443)),ISNUMBER(SEARCH("wealth",C443)),ISNUMBER(SEARCH("financial",C443)),ISNUMBER(SEARCH("securities",C443)),ISNUMBER(SEARCH("fidelity",C443)),ISNUMBER(SEARCH("guardian",C443)),ISNUMBER(SEARCH("wealthsimple",C443)),ISNUMBER(SEARCH("credit suisse",C443)),ISNUMBER(SEARCH("tmx",C443)),ISNUMBER(SEARCH("investors",C443)),ISNUMBER(SEARCH("trader",B443))),"Finance",OR(ISNUMBER(SEARCH("ventures",C443)),ISNUMBER(SEARCH("private equity",B443)),ISNUMBER(SEARCH("capital partners",C443))),"Private Equity / VC",OR(ISNUMBER(SEARCH("government",C443)),ISNUMBER(SEARCH("ministry",C443)),ISNUMBER(SEARCH("tribunal",C443)),ISNUMBER(SEARCH("tdsb",C443)),ISNUMBER(SEARCH("public service",C443))),"Government",OR(ISNUMBER(SEARCH("association",C443)),ISNUMBER(SEARCH("institute",C443)),ISNUMBER(SEARCH("foundation",C443))),"Nonprofit",OR(ISNUMBER(SEARCH("software",C443)),ISNUMBER(SEARCH("tech",C443)),ISNUMBER(SEARCH("systems",C443)),ISNUMBER(SEARCH("digital",C443)),ISNUMBER(SEARCH("engineering",C443)),ISNUMBER(SEARCH("solutions",C443))),"Technology",TRUE,"Other")</f>
        <v>Finance</v>
      </c>
    </row>
    <row r="444" spans="1:11" s="25" customFormat="1" x14ac:dyDescent="0.3">
      <c r="A444" s="11" t="s">
        <v>1079</v>
      </c>
      <c r="B444" s="11" t="s">
        <v>1080</v>
      </c>
      <c r="C444" s="11" t="s">
        <v>298</v>
      </c>
      <c r="D444" s="11" t="s">
        <v>1081</v>
      </c>
      <c r="E444" s="17">
        <v>4700000</v>
      </c>
      <c r="F444" s="33">
        <v>44411</v>
      </c>
      <c r="G444" s="12">
        <v>3.23</v>
      </c>
      <c r="H444" s="9">
        <v>50</v>
      </c>
      <c r="I444" s="31" t="s">
        <v>1055</v>
      </c>
      <c r="J444" s="10" t="s">
        <v>1061</v>
      </c>
      <c r="K444" s="10" t="s">
        <v>1066</v>
      </c>
    </row>
    <row r="445" spans="1:11" s="25" customFormat="1" x14ac:dyDescent="0.3">
      <c r="A445" s="4" t="s">
        <v>1082</v>
      </c>
      <c r="B445" s="4" t="s">
        <v>1527</v>
      </c>
      <c r="C445" s="4" t="s">
        <v>1528</v>
      </c>
      <c r="D445" s="4" t="s">
        <v>1081</v>
      </c>
      <c r="E445" s="16">
        <v>4700000</v>
      </c>
      <c r="F445" s="5">
        <v>44411</v>
      </c>
      <c r="G445" s="6">
        <v>3.23</v>
      </c>
      <c r="H445" s="9">
        <v>50</v>
      </c>
      <c r="I445" s="31" t="s">
        <v>1055</v>
      </c>
      <c r="J445" s="10" t="s">
        <v>1061</v>
      </c>
      <c r="K445" s="10" t="s">
        <v>1066</v>
      </c>
    </row>
    <row r="446" spans="1:11" s="25" customFormat="1" x14ac:dyDescent="0.3">
      <c r="A446" s="4" t="s">
        <v>906</v>
      </c>
      <c r="B446" s="4" t="s">
        <v>907</v>
      </c>
      <c r="C446" s="4" t="s">
        <v>519</v>
      </c>
      <c r="D446" s="4" t="s">
        <v>908</v>
      </c>
      <c r="E446" s="18">
        <v>1200000</v>
      </c>
      <c r="F446" s="5">
        <v>38202</v>
      </c>
      <c r="G446" s="6">
        <v>3.78</v>
      </c>
      <c r="H446" s="9">
        <v>48</v>
      </c>
      <c r="I446" s="31" t="s">
        <v>1055</v>
      </c>
      <c r="J446" s="10" t="s">
        <v>1061</v>
      </c>
      <c r="K446" s="10" t="s">
        <v>1051</v>
      </c>
    </row>
    <row r="447" spans="1:11" s="25" customFormat="1" x14ac:dyDescent="0.3">
      <c r="A447" s="4" t="s">
        <v>133</v>
      </c>
      <c r="B447" s="4" t="s">
        <v>134</v>
      </c>
      <c r="C447" s="4" t="s">
        <v>298</v>
      </c>
      <c r="D447" s="4" t="s">
        <v>135</v>
      </c>
      <c r="E447" s="18">
        <v>1250000</v>
      </c>
      <c r="F447" s="5">
        <v>41271</v>
      </c>
      <c r="G447" s="6">
        <v>2.871</v>
      </c>
      <c r="H447" s="9">
        <v>48</v>
      </c>
      <c r="I447" s="31" t="s">
        <v>1055</v>
      </c>
      <c r="J447" s="10" t="s">
        <v>1061</v>
      </c>
      <c r="K447" s="10" t="s">
        <v>1051</v>
      </c>
    </row>
    <row r="448" spans="1:11" s="25" customFormat="1" x14ac:dyDescent="0.3">
      <c r="A448" s="4" t="s">
        <v>811</v>
      </c>
      <c r="B448" s="4" t="s">
        <v>812</v>
      </c>
      <c r="C448" s="4" t="s">
        <v>813</v>
      </c>
      <c r="D448" s="4" t="s">
        <v>814</v>
      </c>
      <c r="E448" s="18">
        <v>1700000</v>
      </c>
      <c r="F448" s="5">
        <v>42048</v>
      </c>
      <c r="G448" s="3">
        <v>3.62</v>
      </c>
      <c r="H448" s="9">
        <v>48</v>
      </c>
      <c r="I448" s="31" t="s">
        <v>1055</v>
      </c>
      <c r="J448" s="10" t="s">
        <v>1061</v>
      </c>
      <c r="K448" s="10" t="s">
        <v>1051</v>
      </c>
    </row>
    <row r="449" spans="1:11" s="25" customFormat="1" x14ac:dyDescent="0.3">
      <c r="A449" s="4" t="s">
        <v>730</v>
      </c>
      <c r="B449" s="4" t="s">
        <v>1541</v>
      </c>
      <c r="C449" s="4" t="s">
        <v>298</v>
      </c>
      <c r="D449" s="4" t="s">
        <v>731</v>
      </c>
      <c r="E449" s="18">
        <v>2150000</v>
      </c>
      <c r="F449" s="5">
        <v>42220</v>
      </c>
      <c r="G449" s="6">
        <v>4.1100000000000003</v>
      </c>
      <c r="H449" s="9">
        <v>48</v>
      </c>
      <c r="I449" s="31" t="s">
        <v>1055</v>
      </c>
      <c r="J449" s="10" t="s">
        <v>1061</v>
      </c>
      <c r="K449" s="10" t="s">
        <v>1066</v>
      </c>
    </row>
    <row r="450" spans="1:11" s="25" customFormat="1" x14ac:dyDescent="0.3">
      <c r="A450" s="7" t="s">
        <v>716</v>
      </c>
      <c r="B450" s="7" t="s">
        <v>717</v>
      </c>
      <c r="C450" s="7" t="s">
        <v>718</v>
      </c>
      <c r="D450" s="7" t="s">
        <v>719</v>
      </c>
      <c r="E450" s="16">
        <v>2261015</v>
      </c>
      <c r="F450" s="34">
        <v>42359</v>
      </c>
      <c r="G450" s="3">
        <v>4.1100000000000003</v>
      </c>
      <c r="H450" s="9">
        <v>48</v>
      </c>
      <c r="I450" s="31" t="s">
        <v>1055</v>
      </c>
      <c r="J450" s="10" t="s">
        <v>1061</v>
      </c>
      <c r="K450" s="10" t="s">
        <v>1051</v>
      </c>
    </row>
    <row r="451" spans="1:11" s="25" customFormat="1" x14ac:dyDescent="0.3">
      <c r="A451" s="4" t="s">
        <v>580</v>
      </c>
      <c r="B451" s="4" t="s">
        <v>581</v>
      </c>
      <c r="C451" s="4" t="s">
        <v>582</v>
      </c>
      <c r="D451" s="4" t="s">
        <v>583</v>
      </c>
      <c r="E451" s="18">
        <v>2810000</v>
      </c>
      <c r="F451" s="5">
        <v>44042</v>
      </c>
      <c r="G451" s="6">
        <v>3.77</v>
      </c>
      <c r="H451" s="9">
        <v>48</v>
      </c>
      <c r="I451" s="31" t="s">
        <v>1055</v>
      </c>
      <c r="J451" s="10" t="s">
        <v>1061</v>
      </c>
      <c r="K451" s="10" t="s">
        <v>1051</v>
      </c>
    </row>
    <row r="452" spans="1:11" s="25" customFormat="1" x14ac:dyDescent="0.3">
      <c r="A452" s="4" t="s">
        <v>479</v>
      </c>
      <c r="B452" s="4" t="s">
        <v>480</v>
      </c>
      <c r="C452" s="4" t="s">
        <v>481</v>
      </c>
      <c r="D452" s="4" t="s">
        <v>482</v>
      </c>
      <c r="E452" s="18">
        <v>3625000</v>
      </c>
      <c r="F452" s="5">
        <v>45254</v>
      </c>
      <c r="G452" s="6">
        <v>3.82</v>
      </c>
      <c r="H452" s="9">
        <v>48</v>
      </c>
      <c r="I452" s="31" t="s">
        <v>1055</v>
      </c>
      <c r="J452" s="10" t="s">
        <v>1061</v>
      </c>
      <c r="K452" s="10" t="s">
        <v>1051</v>
      </c>
    </row>
    <row r="453" spans="1:11" s="25" customFormat="1" x14ac:dyDescent="0.3">
      <c r="A453" s="4" t="s">
        <v>446</v>
      </c>
      <c r="B453" s="4" t="s">
        <v>447</v>
      </c>
      <c r="C453" s="4" t="s">
        <v>448</v>
      </c>
      <c r="D453" s="4" t="s">
        <v>449</v>
      </c>
      <c r="E453" s="18">
        <v>3850000</v>
      </c>
      <c r="F453" s="5">
        <v>43987</v>
      </c>
      <c r="G453" s="6">
        <v>3.68</v>
      </c>
      <c r="H453" s="9">
        <v>48</v>
      </c>
      <c r="I453" s="31" t="s">
        <v>1055</v>
      </c>
      <c r="J453" s="10" t="s">
        <v>1061</v>
      </c>
      <c r="K453" s="10" t="s">
        <v>1051</v>
      </c>
    </row>
    <row r="454" spans="1:11" s="25" customFormat="1" x14ac:dyDescent="0.3">
      <c r="A454" s="4" t="s">
        <v>136</v>
      </c>
      <c r="B454" s="4" t="s">
        <v>1547</v>
      </c>
      <c r="C454" s="4" t="s">
        <v>137</v>
      </c>
      <c r="D454" s="4" t="s">
        <v>138</v>
      </c>
      <c r="E454" s="18">
        <v>721000</v>
      </c>
      <c r="F454" s="5">
        <v>38856</v>
      </c>
      <c r="G454" s="3">
        <v>4.5060000000000002</v>
      </c>
      <c r="H454" s="9">
        <v>45</v>
      </c>
      <c r="I454" s="31" t="s">
        <v>1055</v>
      </c>
      <c r="J454" s="10" t="s">
        <v>1061</v>
      </c>
      <c r="K454" s="10" t="s">
        <v>1051</v>
      </c>
    </row>
    <row r="455" spans="1:11" s="25" customFormat="1" x14ac:dyDescent="0.3">
      <c r="A455" s="4" t="s">
        <v>246</v>
      </c>
      <c r="B455" s="4" t="s">
        <v>247</v>
      </c>
      <c r="C455" s="4" t="s">
        <v>1477</v>
      </c>
      <c r="D455" s="4" t="s">
        <v>248</v>
      </c>
      <c r="E455" s="18">
        <v>1190000</v>
      </c>
      <c r="F455" s="5">
        <v>45898</v>
      </c>
      <c r="G455" s="6">
        <v>4.5919999999999996</v>
      </c>
      <c r="H455" s="9">
        <v>45</v>
      </c>
      <c r="I455" s="31" t="s">
        <v>1055</v>
      </c>
      <c r="J455" s="10" t="s">
        <v>1061</v>
      </c>
      <c r="K455" s="10" t="s">
        <v>1054</v>
      </c>
    </row>
    <row r="456" spans="1:11" s="25" customFormat="1" x14ac:dyDescent="0.3">
      <c r="A456" s="4" t="s">
        <v>119</v>
      </c>
      <c r="B456" s="4" t="s">
        <v>1497</v>
      </c>
      <c r="C456" s="4" t="s">
        <v>120</v>
      </c>
      <c r="D456" s="4" t="s">
        <v>121</v>
      </c>
      <c r="E456" s="18">
        <v>1300000</v>
      </c>
      <c r="F456" s="5">
        <v>45960</v>
      </c>
      <c r="G456" s="6">
        <v>2.891</v>
      </c>
      <c r="H456" s="9">
        <v>45</v>
      </c>
      <c r="I456" s="31" t="s">
        <v>1055</v>
      </c>
      <c r="J456" s="10" t="s">
        <v>1061</v>
      </c>
      <c r="K456" s="10" t="s">
        <v>1062</v>
      </c>
    </row>
    <row r="457" spans="1:11" s="25" customFormat="1" x14ac:dyDescent="0.3">
      <c r="A457" s="4" t="s">
        <v>176</v>
      </c>
      <c r="B457" s="4" t="s">
        <v>177</v>
      </c>
      <c r="C457" s="4" t="s">
        <v>178</v>
      </c>
      <c r="D457" s="4" t="s">
        <v>179</v>
      </c>
      <c r="E457" s="18">
        <v>1620000</v>
      </c>
      <c r="F457" s="5">
        <v>45916</v>
      </c>
      <c r="G457" s="6">
        <v>4.7530000000000001</v>
      </c>
      <c r="H457" s="9">
        <v>45</v>
      </c>
      <c r="I457" s="31" t="s">
        <v>1055</v>
      </c>
      <c r="J457" s="10" t="s">
        <v>1061</v>
      </c>
      <c r="K457" s="10" t="s">
        <v>1059</v>
      </c>
    </row>
    <row r="458" spans="1:11" s="25" customFormat="1" x14ac:dyDescent="0.3">
      <c r="A458" s="11" t="s">
        <v>795</v>
      </c>
      <c r="B458" s="11" t="s">
        <v>247</v>
      </c>
      <c r="C458" s="11" t="s">
        <v>796</v>
      </c>
      <c r="D458" s="11" t="s">
        <v>797</v>
      </c>
      <c r="E458" s="17">
        <v>1760000</v>
      </c>
      <c r="F458" s="33">
        <v>41487</v>
      </c>
      <c r="G458" s="12">
        <v>4</v>
      </c>
      <c r="H458" s="9">
        <v>45</v>
      </c>
      <c r="I458" s="31" t="s">
        <v>1055</v>
      </c>
      <c r="J458" s="10" t="s">
        <v>1061</v>
      </c>
      <c r="K458" s="10" t="s">
        <v>1051</v>
      </c>
    </row>
    <row r="459" spans="1:11" s="25" customFormat="1" x14ac:dyDescent="0.3">
      <c r="A459" s="4" t="s">
        <v>284</v>
      </c>
      <c r="B459" s="4" t="s">
        <v>285</v>
      </c>
      <c r="C459" s="4" t="s">
        <v>1515</v>
      </c>
      <c r="D459" s="4" t="s">
        <v>286</v>
      </c>
      <c r="E459" s="18">
        <v>1910000</v>
      </c>
      <c r="F459" s="5">
        <v>45861</v>
      </c>
      <c r="G459" s="6">
        <v>4.5010000000000003</v>
      </c>
      <c r="H459" s="9">
        <v>45</v>
      </c>
      <c r="I459" s="31" t="s">
        <v>1055</v>
      </c>
      <c r="J459" s="10" t="s">
        <v>1061</v>
      </c>
      <c r="K459" s="10" t="s">
        <v>1051</v>
      </c>
    </row>
    <row r="460" spans="1:11" s="25" customFormat="1" x14ac:dyDescent="0.3">
      <c r="A460" s="4" t="s">
        <v>1157</v>
      </c>
      <c r="B460" s="4" t="s">
        <v>1158</v>
      </c>
      <c r="C460" s="4" t="s">
        <v>1159</v>
      </c>
      <c r="D460" s="4" t="s">
        <v>1160</v>
      </c>
      <c r="E460" s="18">
        <v>2225000</v>
      </c>
      <c r="F460" s="5">
        <v>43034</v>
      </c>
      <c r="G460" s="6">
        <v>3.4</v>
      </c>
      <c r="H460" s="9">
        <v>45</v>
      </c>
      <c r="I460" s="31" t="s">
        <v>1055</v>
      </c>
      <c r="J460" s="10" t="s">
        <v>1061</v>
      </c>
      <c r="K460" s="10" t="s">
        <v>1064</v>
      </c>
    </row>
    <row r="461" spans="1:11" s="25" customFormat="1" x14ac:dyDescent="0.3">
      <c r="A461" s="4" t="s">
        <v>615</v>
      </c>
      <c r="B461" s="4" t="s">
        <v>616</v>
      </c>
      <c r="C461" s="4" t="s">
        <v>617</v>
      </c>
      <c r="D461" s="4" t="s">
        <v>618</v>
      </c>
      <c r="E461" s="18">
        <v>2550000</v>
      </c>
      <c r="F461" s="5">
        <v>41739</v>
      </c>
      <c r="G461" s="6">
        <v>4.26</v>
      </c>
      <c r="H461" s="9">
        <v>45</v>
      </c>
      <c r="I461" s="31" t="s">
        <v>1055</v>
      </c>
      <c r="J461" s="10" t="s">
        <v>1061</v>
      </c>
      <c r="K461" s="10" t="s">
        <v>1051</v>
      </c>
    </row>
    <row r="462" spans="1:11" s="25" customFormat="1" x14ac:dyDescent="0.3">
      <c r="A462" s="4" t="s">
        <v>613</v>
      </c>
      <c r="B462" s="4" t="s">
        <v>1559</v>
      </c>
      <c r="C462" s="4" t="s">
        <v>614</v>
      </c>
      <c r="D462" s="4" t="s">
        <v>612</v>
      </c>
      <c r="E462" s="18">
        <v>2587000</v>
      </c>
      <c r="F462" s="5">
        <v>42326</v>
      </c>
      <c r="G462" s="6">
        <v>4.0599999999999996</v>
      </c>
      <c r="H462" s="9">
        <v>45</v>
      </c>
      <c r="I462" s="31" t="s">
        <v>1055</v>
      </c>
      <c r="J462" s="10" t="s">
        <v>1061</v>
      </c>
      <c r="K462" s="10" t="s">
        <v>1064</v>
      </c>
    </row>
    <row r="463" spans="1:11" s="25" customFormat="1" x14ac:dyDescent="0.3">
      <c r="A463" s="4" t="s">
        <v>552</v>
      </c>
      <c r="B463" s="4" t="s">
        <v>553</v>
      </c>
      <c r="C463" s="4" t="s">
        <v>554</v>
      </c>
      <c r="D463" s="4" t="s">
        <v>555</v>
      </c>
      <c r="E463" s="18">
        <v>3050000</v>
      </c>
      <c r="F463" s="5">
        <v>45806</v>
      </c>
      <c r="G463" s="6">
        <v>3.84</v>
      </c>
      <c r="H463" s="9">
        <v>45</v>
      </c>
      <c r="I463" s="31" t="s">
        <v>1055</v>
      </c>
      <c r="J463" s="10" t="s">
        <v>1061</v>
      </c>
      <c r="K463" s="10" t="s">
        <v>1051</v>
      </c>
    </row>
    <row r="464" spans="1:11" s="25" customFormat="1" x14ac:dyDescent="0.3">
      <c r="A464" s="11" t="s">
        <v>249</v>
      </c>
      <c r="B464" s="11" t="s">
        <v>250</v>
      </c>
      <c r="C464" s="11" t="s">
        <v>251</v>
      </c>
      <c r="D464" s="11" t="s">
        <v>240</v>
      </c>
      <c r="E464" s="17">
        <v>2550000</v>
      </c>
      <c r="F464" s="33">
        <v>45679</v>
      </c>
      <c r="G464" s="12">
        <v>4.6239999999999997</v>
      </c>
      <c r="H464" s="9">
        <v>42</v>
      </c>
      <c r="I464" s="31" t="s">
        <v>1055</v>
      </c>
      <c r="J464" s="10" t="s">
        <v>1061</v>
      </c>
      <c r="K464" s="10" t="s">
        <v>1064</v>
      </c>
    </row>
    <row r="465" spans="1:11" s="25" customFormat="1" x14ac:dyDescent="0.3">
      <c r="A465" s="4" t="s">
        <v>364</v>
      </c>
      <c r="B465" s="4" t="s">
        <v>365</v>
      </c>
      <c r="C465" s="4" t="s">
        <v>366</v>
      </c>
      <c r="D465" s="4" t="s">
        <v>367</v>
      </c>
      <c r="E465" s="16">
        <v>5206000</v>
      </c>
      <c r="F465" s="5">
        <v>44726</v>
      </c>
      <c r="G465" s="3">
        <v>3.95</v>
      </c>
      <c r="H465" s="9">
        <v>36</v>
      </c>
      <c r="I465" s="31" t="s">
        <v>1060</v>
      </c>
      <c r="J465" s="10" t="s">
        <v>1061</v>
      </c>
      <c r="K465" s="10" t="s">
        <v>1051</v>
      </c>
    </row>
    <row r="466" spans="1:11" s="25" customFormat="1" x14ac:dyDescent="0.3">
      <c r="A466" s="4" t="s">
        <v>986</v>
      </c>
      <c r="B466" s="4" t="s">
        <v>987</v>
      </c>
      <c r="C466" s="4" t="s">
        <v>677</v>
      </c>
      <c r="D466" s="4" t="s">
        <v>988</v>
      </c>
      <c r="E466" s="20" t="s">
        <v>1280</v>
      </c>
      <c r="F466" s="5">
        <v>42355</v>
      </c>
      <c r="G466" s="6">
        <v>4.09</v>
      </c>
      <c r="H466" s="9">
        <v>36</v>
      </c>
      <c r="I466" s="31" t="s">
        <v>1060</v>
      </c>
      <c r="J466" s="10" t="s">
        <v>1061</v>
      </c>
      <c r="K466" s="10" t="s">
        <v>1057</v>
      </c>
    </row>
    <row r="467" spans="1:11" s="25" customFormat="1" x14ac:dyDescent="0.3">
      <c r="A467" s="4" t="s">
        <v>66</v>
      </c>
      <c r="B467" s="4" t="s">
        <v>67</v>
      </c>
      <c r="C467" s="4" t="s">
        <v>68</v>
      </c>
      <c r="D467" s="4" t="s">
        <v>69</v>
      </c>
      <c r="E467" s="18">
        <v>1395000</v>
      </c>
      <c r="F467" s="5">
        <v>43815</v>
      </c>
      <c r="G467" s="6">
        <v>4.4470000000000001</v>
      </c>
      <c r="H467" s="9">
        <v>34</v>
      </c>
      <c r="I467" s="31" t="s">
        <v>1060</v>
      </c>
      <c r="J467" s="10" t="s">
        <v>1061</v>
      </c>
      <c r="K467" s="10" t="s">
        <v>1062</v>
      </c>
    </row>
    <row r="468" spans="1:11" s="25" customFormat="1" x14ac:dyDescent="0.3">
      <c r="A468" s="4" t="s">
        <v>189</v>
      </c>
      <c r="B468" s="4" t="s">
        <v>190</v>
      </c>
      <c r="C468" s="4" t="s">
        <v>191</v>
      </c>
      <c r="D468" s="4" t="s">
        <v>192</v>
      </c>
      <c r="E468" s="18">
        <v>2074000</v>
      </c>
      <c r="F468" s="5">
        <v>45862</v>
      </c>
      <c r="G468" s="6">
        <v>4.5190000000000001</v>
      </c>
      <c r="H468" s="9">
        <v>34</v>
      </c>
      <c r="I468" s="31" t="s">
        <v>1063</v>
      </c>
      <c r="J468" s="10" t="s">
        <v>1061</v>
      </c>
      <c r="K468" s="10" t="s">
        <v>1062</v>
      </c>
    </row>
    <row r="469" spans="1:11" s="25" customFormat="1" x14ac:dyDescent="0.3">
      <c r="A469" s="4" t="s">
        <v>49</v>
      </c>
      <c r="B469" s="4" t="s">
        <v>50</v>
      </c>
      <c r="C469" s="4" t="s">
        <v>51</v>
      </c>
      <c r="D469" s="4" t="s">
        <v>17</v>
      </c>
      <c r="E469" s="18">
        <v>940000</v>
      </c>
      <c r="F469" s="5">
        <v>39262</v>
      </c>
      <c r="G469" s="6">
        <v>4.84</v>
      </c>
      <c r="H469" s="9">
        <v>32</v>
      </c>
      <c r="I469" s="31" t="s">
        <v>1060</v>
      </c>
      <c r="J469" s="10" t="s">
        <v>1061</v>
      </c>
      <c r="K469" s="10" t="s">
        <v>1051</v>
      </c>
    </row>
    <row r="470" spans="1:11" s="25" customFormat="1" x14ac:dyDescent="0.3">
      <c r="A470" s="4" t="s">
        <v>1189</v>
      </c>
      <c r="B470" s="4" t="s">
        <v>1030</v>
      </c>
      <c r="C470" s="4" t="s">
        <v>1190</v>
      </c>
      <c r="D470" s="4" t="s">
        <v>1191</v>
      </c>
      <c r="E470" s="18">
        <v>1512000</v>
      </c>
      <c r="F470" s="5">
        <v>44991</v>
      </c>
      <c r="G470" s="6">
        <v>3.48</v>
      </c>
      <c r="H470" s="9">
        <v>32</v>
      </c>
      <c r="I470" s="31" t="s">
        <v>1060</v>
      </c>
      <c r="J470" s="10" t="s">
        <v>1061</v>
      </c>
      <c r="K470" s="10" t="s">
        <v>1059</v>
      </c>
    </row>
    <row r="471" spans="1:11" s="25" customFormat="1" x14ac:dyDescent="0.3">
      <c r="A471" s="11" t="s">
        <v>845</v>
      </c>
      <c r="B471" s="11" t="s">
        <v>846</v>
      </c>
      <c r="C471" s="13" t="s">
        <v>1519</v>
      </c>
      <c r="D471" s="13" t="s">
        <v>844</v>
      </c>
      <c r="E471" s="17">
        <v>1595000</v>
      </c>
      <c r="F471" s="33">
        <v>37839</v>
      </c>
      <c r="G471" s="14">
        <v>3.83</v>
      </c>
      <c r="H471" s="9">
        <v>32</v>
      </c>
      <c r="I471" s="31" t="s">
        <v>1060</v>
      </c>
      <c r="J471" s="10" t="s">
        <v>1061</v>
      </c>
      <c r="K471" s="10" t="s">
        <v>1066</v>
      </c>
    </row>
    <row r="472" spans="1:11" s="25" customFormat="1" x14ac:dyDescent="0.3">
      <c r="A472" s="7" t="s">
        <v>215</v>
      </c>
      <c r="B472" s="7" t="s">
        <v>216</v>
      </c>
      <c r="C472" s="4" t="s">
        <v>217</v>
      </c>
      <c r="D472" s="7" t="s">
        <v>218</v>
      </c>
      <c r="E472" s="16">
        <v>1688000</v>
      </c>
      <c r="F472" s="34">
        <v>45902</v>
      </c>
      <c r="G472" s="3">
        <v>4.6879999999999997</v>
      </c>
      <c r="H472" s="9">
        <v>32</v>
      </c>
      <c r="I472" s="31" t="s">
        <v>1060</v>
      </c>
      <c r="J472" s="10" t="s">
        <v>1061</v>
      </c>
      <c r="K472" s="10" t="s">
        <v>1051</v>
      </c>
    </row>
    <row r="473" spans="1:11" s="25" customFormat="1" x14ac:dyDescent="0.3">
      <c r="A473" s="11" t="s">
        <v>778</v>
      </c>
      <c r="B473" s="11" t="s">
        <v>779</v>
      </c>
      <c r="C473" s="11" t="s">
        <v>780</v>
      </c>
      <c r="D473" s="11" t="s">
        <v>777</v>
      </c>
      <c r="E473" s="17">
        <v>1900000</v>
      </c>
      <c r="F473" s="33">
        <v>42891</v>
      </c>
      <c r="G473" s="12">
        <v>3.8</v>
      </c>
      <c r="H473" s="9">
        <v>32</v>
      </c>
      <c r="I473" s="31" t="s">
        <v>1055</v>
      </c>
      <c r="J473" s="10" t="s">
        <v>1061</v>
      </c>
      <c r="K473" s="10" t="s">
        <v>1054</v>
      </c>
    </row>
    <row r="474" spans="1:11" s="25" customFormat="1" x14ac:dyDescent="0.3">
      <c r="A474" s="11" t="s">
        <v>267</v>
      </c>
      <c r="B474" s="11" t="s">
        <v>268</v>
      </c>
      <c r="C474" s="11" t="s">
        <v>1283</v>
      </c>
      <c r="D474" s="11" t="s">
        <v>269</v>
      </c>
      <c r="E474" s="17">
        <v>1939000</v>
      </c>
      <c r="F474" s="33">
        <v>44019</v>
      </c>
      <c r="G474" s="12">
        <v>4.8449999999999998</v>
      </c>
      <c r="H474" s="9">
        <v>32</v>
      </c>
      <c r="I474" s="31" t="s">
        <v>1060</v>
      </c>
      <c r="J474" s="10" t="s">
        <v>1061</v>
      </c>
      <c r="K474" s="10" t="s">
        <v>1051</v>
      </c>
    </row>
    <row r="475" spans="1:11" s="25" customFormat="1" x14ac:dyDescent="0.3">
      <c r="A475" s="4" t="s">
        <v>720</v>
      </c>
      <c r="B475" s="4" t="s">
        <v>721</v>
      </c>
      <c r="C475" s="4" t="s">
        <v>722</v>
      </c>
      <c r="D475" s="4" t="s">
        <v>719</v>
      </c>
      <c r="E475" s="18">
        <v>2261015</v>
      </c>
      <c r="F475" s="5">
        <v>42359</v>
      </c>
      <c r="G475" s="3">
        <v>4.1100000000000003</v>
      </c>
      <c r="H475" s="9">
        <v>32</v>
      </c>
      <c r="I475" s="31" t="s">
        <v>1060</v>
      </c>
      <c r="J475" s="10" t="s">
        <v>1061</v>
      </c>
      <c r="K475" s="10" t="s">
        <v>1068</v>
      </c>
    </row>
    <row r="476" spans="1:11" s="25" customFormat="1" x14ac:dyDescent="0.3">
      <c r="A476" s="4" t="s">
        <v>657</v>
      </c>
      <c r="B476" s="4" t="s">
        <v>658</v>
      </c>
      <c r="C476" s="4" t="s">
        <v>659</v>
      </c>
      <c r="D476" s="4" t="s">
        <v>660</v>
      </c>
      <c r="E476" s="18">
        <v>2400000</v>
      </c>
      <c r="F476" s="5">
        <v>43928</v>
      </c>
      <c r="G476" s="6">
        <v>4.24</v>
      </c>
      <c r="H476" s="9">
        <v>32</v>
      </c>
      <c r="I476" s="31" t="s">
        <v>1060</v>
      </c>
      <c r="J476" s="10" t="s">
        <v>1061</v>
      </c>
      <c r="K476" s="10" t="s">
        <v>1051</v>
      </c>
    </row>
    <row r="477" spans="1:11" s="25" customFormat="1" x14ac:dyDescent="0.3">
      <c r="A477" s="4" t="s">
        <v>602</v>
      </c>
      <c r="B477" s="4" t="s">
        <v>1485</v>
      </c>
      <c r="C477" s="4" t="s">
        <v>603</v>
      </c>
      <c r="D477" s="4" t="s">
        <v>604</v>
      </c>
      <c r="E477" s="18">
        <v>2728000</v>
      </c>
      <c r="F477" s="5">
        <v>45278</v>
      </c>
      <c r="G477" s="6">
        <v>4.09</v>
      </c>
      <c r="H477" s="9">
        <v>32</v>
      </c>
      <c r="I477" s="31" t="s">
        <v>1060</v>
      </c>
      <c r="J477" s="10" t="s">
        <v>1061</v>
      </c>
      <c r="K477" s="10" t="s">
        <v>1051</v>
      </c>
    </row>
    <row r="478" spans="1:11" s="25" customFormat="1" x14ac:dyDescent="0.3">
      <c r="A478" s="4" t="s">
        <v>605</v>
      </c>
      <c r="B478" s="4" t="s">
        <v>606</v>
      </c>
      <c r="C478" s="4" t="s">
        <v>496</v>
      </c>
      <c r="D478" s="4" t="s">
        <v>604</v>
      </c>
      <c r="E478" s="18">
        <v>2728000</v>
      </c>
      <c r="F478" s="5">
        <v>45278</v>
      </c>
      <c r="G478" s="6">
        <v>4.09</v>
      </c>
      <c r="H478" s="9">
        <v>32</v>
      </c>
      <c r="I478" s="31" t="s">
        <v>1060</v>
      </c>
      <c r="J478" s="10" t="s">
        <v>1061</v>
      </c>
      <c r="K478" s="10" t="s">
        <v>1054</v>
      </c>
    </row>
    <row r="479" spans="1:11" s="25" customFormat="1" x14ac:dyDescent="0.3">
      <c r="A479" s="4" t="s">
        <v>456</v>
      </c>
      <c r="B479" s="4" t="s">
        <v>1529</v>
      </c>
      <c r="C479" s="4" t="s">
        <v>457</v>
      </c>
      <c r="D479" s="4" t="s">
        <v>458</v>
      </c>
      <c r="E479" s="18">
        <v>3828000</v>
      </c>
      <c r="F479" s="5">
        <v>45461</v>
      </c>
      <c r="G479" s="6">
        <v>3.74</v>
      </c>
      <c r="H479" s="9">
        <v>32</v>
      </c>
      <c r="I479" s="31" t="s">
        <v>1060</v>
      </c>
      <c r="J479" s="10" t="s">
        <v>1061</v>
      </c>
      <c r="K479" s="10" t="s">
        <v>1051</v>
      </c>
    </row>
    <row r="480" spans="1:11" s="25" customFormat="1" x14ac:dyDescent="0.3">
      <c r="A480" s="4" t="s">
        <v>405</v>
      </c>
      <c r="B480" s="4" t="s">
        <v>406</v>
      </c>
      <c r="C480" s="4" t="s">
        <v>407</v>
      </c>
      <c r="D480" s="4" t="s">
        <v>404</v>
      </c>
      <c r="E480" s="16">
        <v>4550000</v>
      </c>
      <c r="F480" s="5">
        <v>44693</v>
      </c>
      <c r="G480" s="6">
        <v>3.85</v>
      </c>
      <c r="H480" s="9">
        <v>32</v>
      </c>
      <c r="I480" s="31" t="s">
        <v>1060</v>
      </c>
      <c r="J480" s="10" t="s">
        <v>1061</v>
      </c>
      <c r="K480" s="10" t="s">
        <v>1067</v>
      </c>
    </row>
    <row r="481" spans="1:11" s="25" customFormat="1" x14ac:dyDescent="0.3">
      <c r="A481" s="27" t="s">
        <v>1360</v>
      </c>
      <c r="B481" s="27" t="s">
        <v>1361</v>
      </c>
      <c r="C481" s="27" t="s">
        <v>1362</v>
      </c>
      <c r="D481" s="27" t="s">
        <v>1320</v>
      </c>
      <c r="E481" s="32">
        <v>5500000</v>
      </c>
      <c r="F481" s="28">
        <v>44165</v>
      </c>
      <c r="G481" s="29">
        <v>2.97</v>
      </c>
      <c r="H481" s="30" cm="1">
        <f t="array" ref="H481">_xlfn.IFS(I481="Founder / Owner",IF(ISNUMBER(SEARCH("owner",B481)),80,96),I481="C-Suite",IF(OR(ISNUMBER(SEARCH("ceo",B481)),ISNUMBER(SEARCH("chief executive",B481))),95,91),I481="Managing Director",86,I481="Partner",IF(OR(ISNUMBER(SEARCH("managing partner",B481)),ISNUMBER(SEARCH("general partner",B481))),88,85),I481="VP / Head",_xlfn.IFS(OR(ISNUMBER(SEARCH("vice president",B481)),ISNUMBER(SEARCH("executive vice",B481))),91,ISNUMBER(SEARCH("svp",B481)),77,TRUE,73),I481="Director",IF(ISNUMBER(SEARCH("principal",B481)),72,71),I481="Individual Contributor",32,OR(ISNUMBER(SEARCH("surgeon",B481)),ISNUMBER(SEARCH("physician",B481)),ISNUMBER(SEARCH("doctor",B481)),ISNUMBER(SEARCH("dentist",B481)),ISNUMBER(SEARCH("psychiat",B481)),ISNUMBER(SEARCH("oncolog",B481)),ISNUMBER(SEARCH("neurolog",B481)),ISNUMBER(SEARCH("patholog",B481)),ISNUMBER(SEARCH("medicine",B481)),ISNUMBER(SEARCH("obgyn",B481))),77,OR(ISNUMBER(SEARCH("portfolio manager",B481)),ISNUMBER(SEARCH("wealth advisor",B481))),81,OR(ISNUMBER(SEARCH("lawyer",B481)),ISNUMBER(SEARCH("attorney",B481))),68,ISNUMBER(SEARCH("counsel",B481)),66,ISNUMBER(SEARCH("professor",B481)),63,OR(ISNUMBER(SEARCH("engineer",B481)),ISNUMBER(SEARCH("consultant",B481))),62,ISNUMBER(SEARCH("senior manager",B481)),64,OR(ISNUMBER(SEARCH("realtor",B481)),ISNUMBER(SEARCH("broker",B481)),ISNUMBER(SEARCH("journalist",B481)),ISNUMBER(SEARCH("columnist",B481)),ISNUMBER(SEARCH("trader",B481)),ISNUMBER(SEARCH("actor",B481))),50,TRUE,60)</f>
        <v>32</v>
      </c>
      <c r="I481" s="31" t="str" cm="1">
        <f t="array" ref="I481">_xlfn.LET(_xlpm.p," "&amp;LOWER(SUBSTITUTE(SUBSTITUTE(SUBSTITUTE(B481,",","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Individual Contributor</v>
      </c>
      <c r="J481" s="31" t="str" cm="1">
        <f t="array" ref="J481">_xlfn.IFS(H481&gt;=90,"Very High",H481&gt;=80,"High",H481&gt;=56,"Medium",TRUE,"Low")</f>
        <v>Low</v>
      </c>
      <c r="K481" s="31" t="str" cm="1">
        <f t="array" ref="K481">_xlfn.IFS(OR(ISNUMBER(SEARCH("hospital",C481)),ISNUMBER(SEARCH("health",C481)),ISNUMBER(SEARCH("medical",C481)),ISNUMBER(SEARCH("clinic",C481)),ISNUMBER(SEARCH("nursing",C481)),ISNUMBER(SEARCH("care cent",C481)),ISNUMBER(SEARCH("physician",B481)),ISNUMBER(SEARCH("doctor",B481)),ISNUMBER(SEARCH("dentist",B481)),ISNUMBER(SEARCH("surgeon",B481)),ISNUMBER(SEARCH("psychiat",B481)),ISNUMBER(SEARCH("medicine",B481))),"Healthcare",OR(ISNUMBER(SEARCH("llp",C481)),ISNUMBER(SEARCH("lawyer",B481)),ISNUMBER(SEARCH("attorney",B481)),ISNUMBER(SEARCH("legal",C481)),ISNUMBER(SEARCH("tetrault",C481)),ISNUMBER(SEARCH("morley",C481)),ISNUMBER(SEARCH("blg",C481)),ISNUMBER(SEARCH("lowy",C481)),ISNUMBER(SEARCH("riley",C481)),ISNUMBER(SEARCH("toomath",C481))),"Law",OR(ISNUMBER(SEARCH("reit",C481)),ISNUMBER(SEARCH("properties",C481)),ISNUMBER(SEARCH("realty",C481)),ISNUMBER(SEARCH("realtor",B481)),ISNUMBER(SEARCH("colliers",C481)),ISNUMBER(SEARCH("re/max",C481)),ISNUMBER(SEARCH("quadreal",C481)),ISNUMBER(SEARCH("vic management",C481))),"Real Estate",OR(ISNUMBER(SEARCH("deloitte",C481)),ISNUMBER(SEARCH("kpmg",C481)),ISNUMBER(SEARCH("pwc",C481)),ISNUMBER(SEARCH("consulting",C481)),ISNUMBER(SEARCH("consultant",B481)),ISNUMBER(SEARCH("advisory",C481)),ISNUMBER(SEARCH("philanthropic",C481)),ISNUMBER(SEARCH("argyle",C481)),ISNUMBER(SEARCH("quinn",C481))),"Consulting",OR(ISNUMBER(SEARCH("media",C481)),ISNUMBER(SEARCH("news",C481)),ISNUMBER(SEARCH("radio",C481)),ISNUMBER(SEARCH("film",C481)),ISNUMBER(SEARCH("journalist",B481)),ISNUMBER(SEARCH("columnist",B481)),ISNUMBER(SEARCH("globe",C481)),ISNUMBER(SEARCH("marketing",C481)),ISNUMBER(SEARCH("actor",B481))),"Media",OR(ISNUMBER(SEARCH("rbc",C481)),ISNUMBER(SEARCH("cibc",C481)),ISNUMBER(SEARCH("bmo",C481)),ISNUMBER(SEARCH("scotia",C481)),ISNUMBER(SEARCH("bank",C481)),ISNUMBER(SEARCH("capital",C481)),ISNUMBER(SEARCH("wealth",C481)),ISNUMBER(SEARCH("financial",C481)),ISNUMBER(SEARCH("securities",C481)),ISNUMBER(SEARCH("fidelity",C481)),ISNUMBER(SEARCH("guardian",C481)),ISNUMBER(SEARCH("wealthsimple",C481)),ISNUMBER(SEARCH("credit suisse",C481)),ISNUMBER(SEARCH("tmx",C481)),ISNUMBER(SEARCH("investors",C481)),ISNUMBER(SEARCH("trader",B481))),"Finance",OR(ISNUMBER(SEARCH("ventures",C481)),ISNUMBER(SEARCH("private equity",B481)),ISNUMBER(SEARCH("capital partners",C481))),"Private Equity / VC",OR(ISNUMBER(SEARCH("government",C481)),ISNUMBER(SEARCH("ministry",C481)),ISNUMBER(SEARCH("tribunal",C481)),ISNUMBER(SEARCH("tdsb",C481)),ISNUMBER(SEARCH("public service",C481))),"Government",OR(ISNUMBER(SEARCH("association",C481)),ISNUMBER(SEARCH("institute",C481)),ISNUMBER(SEARCH("foundation",C481))),"Nonprofit",OR(ISNUMBER(SEARCH("software",C481)),ISNUMBER(SEARCH("tech",C481)),ISNUMBER(SEARCH("systems",C481)),ISNUMBER(SEARCH("digital",C481)),ISNUMBER(SEARCH("engineering",C481)),ISNUMBER(SEARCH("solutions",C481))),"Technology",TRUE,"Other")</f>
        <v>Other</v>
      </c>
    </row>
    <row r="482" spans="1:11" s="25" customFormat="1" x14ac:dyDescent="0.3">
      <c r="A482" s="4" t="s">
        <v>343</v>
      </c>
      <c r="B482" s="4" t="s">
        <v>344</v>
      </c>
      <c r="C482" s="4" t="s">
        <v>345</v>
      </c>
      <c r="D482" s="4" t="s">
        <v>346</v>
      </c>
      <c r="E482" s="16">
        <v>5580000</v>
      </c>
      <c r="F482" s="5">
        <v>46112</v>
      </c>
      <c r="G482" s="6">
        <v>3.82</v>
      </c>
      <c r="H482" s="9">
        <v>32</v>
      </c>
      <c r="I482" s="31" t="s">
        <v>1060</v>
      </c>
      <c r="J482" s="10" t="s">
        <v>1061</v>
      </c>
      <c r="K482" s="10" t="s">
        <v>1058</v>
      </c>
    </row>
    <row r="483" spans="1:11" s="25" customFormat="1" x14ac:dyDescent="0.3">
      <c r="A483" s="7" t="s">
        <v>1029</v>
      </c>
      <c r="B483" s="7" t="s">
        <v>1030</v>
      </c>
      <c r="C483" s="7" t="s">
        <v>1031</v>
      </c>
      <c r="D483" s="7" t="s">
        <v>1032</v>
      </c>
      <c r="E483" s="20" t="s">
        <v>1280</v>
      </c>
      <c r="F483" s="34">
        <v>44699</v>
      </c>
      <c r="G483" s="3">
        <v>3.8</v>
      </c>
      <c r="H483" s="9">
        <v>32</v>
      </c>
      <c r="I483" s="31" t="s">
        <v>1060</v>
      </c>
      <c r="J483" s="10" t="s">
        <v>1061</v>
      </c>
      <c r="K483" s="10" t="s">
        <v>1057</v>
      </c>
    </row>
    <row r="484" spans="1:11" s="25" customFormat="1" x14ac:dyDescent="0.3">
      <c r="A484" s="4" t="s">
        <v>1039</v>
      </c>
      <c r="B484" s="4" t="s">
        <v>779</v>
      </c>
      <c r="C484" s="4" t="s">
        <v>1558</v>
      </c>
      <c r="D484" s="4" t="s">
        <v>1040</v>
      </c>
      <c r="E484" s="20" t="s">
        <v>1280</v>
      </c>
      <c r="F484" s="5">
        <v>44782</v>
      </c>
      <c r="G484" s="3">
        <v>3.9</v>
      </c>
      <c r="H484" s="9">
        <v>32</v>
      </c>
      <c r="I484" s="31" t="s">
        <v>1055</v>
      </c>
      <c r="J484" s="10" t="s">
        <v>1061</v>
      </c>
      <c r="K484" s="10" t="s">
        <v>1066</v>
      </c>
    </row>
    <row r="485" spans="1:11" x14ac:dyDescent="0.3">
      <c r="B485" s="24"/>
      <c r="E485" s="23"/>
      <c r="F485" s="23"/>
      <c r="H485" s="24"/>
      <c r="I485" s="31"/>
      <c r="J485" s="24"/>
      <c r="K485" s="24"/>
    </row>
    <row r="486" spans="1:11" x14ac:dyDescent="0.3">
      <c r="E486" s="23"/>
      <c r="F486" s="23"/>
      <c r="H486" s="24"/>
      <c r="I486" s="24"/>
      <c r="J486" s="24"/>
      <c r="K486" s="24"/>
    </row>
  </sheetData>
  <autoFilter ref="A1:K106" xr:uid="{00000000-0009-0000-0000-000000000000}">
    <sortState xmlns:xlrd2="http://schemas.microsoft.com/office/spreadsheetml/2017/richdata2" ref="A2:K484">
      <sortCondition descending="1" ref="H1:H106"/>
    </sortState>
  </autoFilter>
  <sortState xmlns:xlrd2="http://schemas.microsoft.com/office/spreadsheetml/2017/richdata2" ref="A415:G484">
    <sortCondition descending="1" ref="E415:E484"/>
  </sortState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 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Foster Deighton</cp:lastModifiedBy>
  <cp:revision>0</cp:revision>
  <dcterms:created xsi:type="dcterms:W3CDTF">2026-06-02T18:52:02Z</dcterms:created>
  <dcterms:modified xsi:type="dcterms:W3CDTF">2026-06-15T14:56:29Z</dcterms:modified>
  <dc:language>en-US</dc:language>
</cp:coreProperties>
</file>